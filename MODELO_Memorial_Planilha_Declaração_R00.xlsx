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52351545-F6AB-42F8-AEBA-E1D89D63D04D}" xr6:coauthVersionLast="47" xr6:coauthVersionMax="47" xr10:uidLastSave="{00000000-0000-0000-0000-000000000000}"/>
  <bookViews>
    <workbookView xWindow="25695" yWindow="0" windowWidth="26010" windowHeight="20985" xr2:uid="{1E7CDECE-C019-4B9C-999A-C8660DDB49AA}"/>
  </bookViews>
  <sheets>
    <sheet name="Dados" sheetId="5" r:id="rId1"/>
    <sheet name="Plan_Estatistica" sheetId="3" r:id="rId2"/>
    <sheet name="Memorial_Descritivo" sheetId="4" r:id="rId3"/>
    <sheet name="Declaração" sheetId="12" r:id="rId4"/>
  </sheets>
  <definedNames>
    <definedName name="_xlnm.Print_Area" localSheetId="2">Memorial_Descritivo!$A$1:$B$168</definedName>
    <definedName name="page2" localSheetId="2">Memorial_Descritivo!$A$56</definedName>
    <definedName name="page3" localSheetId="2">Memorial_Descritivo!$A$108</definedName>
    <definedName name="Print_Area" localSheetId="2">Memorial_Descritivo!$A$1:$A$173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3" l="1"/>
  <c r="B14" i="3"/>
  <c r="A8" i="4"/>
  <c r="A10" i="4"/>
  <c r="A11" i="4"/>
  <c r="A9" i="4"/>
  <c r="A159" i="4"/>
  <c r="H4" i="3"/>
  <c r="H3" i="3"/>
  <c r="A158" i="4"/>
  <c r="B20" i="12"/>
  <c r="B19" i="12"/>
  <c r="E14" i="3" l="1"/>
  <c r="B44" i="3"/>
  <c r="B43" i="3"/>
  <c r="A68" i="4"/>
  <c r="E10" i="3"/>
  <c r="A18" i="4"/>
  <c r="A59" i="5"/>
  <c r="I33" i="3" l="1"/>
  <c r="I32" i="3"/>
  <c r="I31" i="3"/>
  <c r="A34" i="5"/>
  <c r="A55" i="5"/>
  <c r="B4" i="12" s="1"/>
  <c r="A69" i="4"/>
  <c r="B10" i="12"/>
  <c r="B16" i="12"/>
  <c r="B15" i="12"/>
  <c r="B7" i="3"/>
  <c r="A22" i="4" l="1"/>
  <c r="B46" i="3"/>
  <c r="B32" i="3"/>
  <c r="J26" i="3"/>
  <c r="H26" i="3"/>
  <c r="H23" i="3"/>
  <c r="H7" i="3"/>
  <c r="D7" i="3"/>
  <c r="C7" i="3"/>
  <c r="H40" i="3"/>
  <c r="H39" i="3"/>
  <c r="B4" i="3"/>
  <c r="B40" i="3" s="1"/>
  <c r="C3" i="3"/>
  <c r="B39" i="3" s="1"/>
  <c r="A167" i="4"/>
  <c r="A15" i="4"/>
  <c r="A25" i="4"/>
  <c r="A165" i="4"/>
  <c r="A164" i="4"/>
  <c r="A7" i="4"/>
  <c r="A153" i="4" s="1"/>
  <c r="A5" i="4"/>
  <c r="A152" i="4" s="1"/>
  <c r="E20" i="3"/>
  <c r="B23" i="3" l="1"/>
  <c r="J20" i="3"/>
  <c r="H10" i="3"/>
  <c r="B26" i="3" l="1"/>
  <c r="B29" i="3"/>
  <c r="H29" i="3"/>
</calcChain>
</file>

<file path=xl/sharedStrings.xml><?xml version="1.0" encoding="utf-8"?>
<sst xmlns="http://schemas.openxmlformats.org/spreadsheetml/2006/main" count="157" uniqueCount="145">
  <si>
    <t>FINALIDADE DA OBRA:</t>
  </si>
  <si>
    <t>ÁREA DE  CONSTRUÇÃO:</t>
  </si>
  <si>
    <t>CPF:</t>
  </si>
  <si>
    <t>ÁREA TERRENO:</t>
  </si>
  <si>
    <t>PLANILHA DE ESTATISTICA</t>
  </si>
  <si>
    <t>Zona</t>
  </si>
  <si>
    <t>Lote</t>
  </si>
  <si>
    <t>Quadra</t>
  </si>
  <si>
    <t>Loteamento</t>
  </si>
  <si>
    <t>Área do Lote (m²)</t>
  </si>
  <si>
    <t>Área de Edificação Superior (m²)</t>
  </si>
  <si>
    <t>Piscina (m²)</t>
  </si>
  <si>
    <t>Calçada (m²)</t>
  </si>
  <si>
    <t>Área Const computável (m²)</t>
  </si>
  <si>
    <t>Área Const não computável (m²)</t>
  </si>
  <si>
    <t>Área Const Total (m²)</t>
  </si>
  <si>
    <t>Área de projeção da construção(m²)</t>
  </si>
  <si>
    <t>Nº vagas estacionamento</t>
  </si>
  <si>
    <t>Taxa de Permeabilidade</t>
  </si>
  <si>
    <t>N. pavimentos</t>
  </si>
  <si>
    <t>Altura máxima (m)</t>
  </si>
  <si>
    <t>Taxa de Ocupação (%) (Item 12x100/Item4)</t>
  </si>
  <si>
    <t>Finalidade</t>
  </si>
  <si>
    <t>Alvenaria</t>
  </si>
  <si>
    <t>Madeira</t>
  </si>
  <si>
    <t>Pré-moldado</t>
  </si>
  <si>
    <t>Propietário:</t>
  </si>
  <si>
    <t>Resp. Técnico:</t>
  </si>
  <si>
    <t>PROPRIETARIO:</t>
  </si>
  <si>
    <t>ENDEREÇO DA OBRA:</t>
  </si>
  <si>
    <t>MEMORIAL DESCRITIVO</t>
  </si>
  <si>
    <t>Disposições Iniciais</t>
  </si>
  <si>
    <t>Este memorial tem como finalidade descrever as especificações de servições e materiais as serem aplicados na edificação visando auxiliar na interpretação do projeto.</t>
  </si>
  <si>
    <t>1.Serviços Preliminares</t>
  </si>
  <si>
    <t>2.Infra estrutura</t>
  </si>
  <si>
    <t>2.1. Sapatas</t>
  </si>
  <si>
    <t>As sapatas isoladas de concreto armado nas dimensões de 80x80x20cm, conforme projeto específico.</t>
  </si>
  <si>
    <t>2.2. Vigas baldrames</t>
  </si>
  <si>
    <t>De concreto armado nas dimensões 15x30cm, conforme projeto específico.</t>
  </si>
  <si>
    <t>3.Impermeabilização</t>
  </si>
  <si>
    <t>A face superior das vigas baldrame executadas será revestida com manta asfáltica, para posterior assentamento da alvenaria.</t>
  </si>
  <si>
    <t>4. Alvenaria</t>
  </si>
  <si>
    <t>4.1Paredes</t>
  </si>
  <si>
    <t>As paredes serão executadas com tijolos de estruturais de 11,5x19x24cm assentados em ½ vez com argamassa mista cimento, cal, areia média com traço 1:2:8.</t>
  </si>
  <si>
    <t>5.Supra estrutura</t>
  </si>
  <si>
    <t>6.Cobertura</t>
  </si>
  <si>
    <t>6.1. Cobertura</t>
  </si>
  <si>
    <t>7.Instalações Elétricas</t>
  </si>
  <si>
    <t>7.1. Rede Elétrica</t>
  </si>
  <si>
    <t>A serem executadas em conformidade com as normas específicas obedecendo às indicações no respectivo projeto. As luminárias serão do tipo lâmpadas fluorescentes e 15w e 20w.</t>
  </si>
  <si>
    <t>8.Instalações Hidráulicas</t>
  </si>
  <si>
    <t>8.1. Rede hidráulica</t>
  </si>
  <si>
    <t>A rede hidráulica será executada de acordo com o respectivo projeto.</t>
  </si>
  <si>
    <t>9.Instalações Sanitárias</t>
  </si>
  <si>
    <t>9.1. Rede Sanitária</t>
  </si>
  <si>
    <r>
      <t xml:space="preserve">A rede sanitária será executada de acordo com o respectivo projeto. Para destino dos afluentes será instalado uma caixa de gordura, e está ligada ao </t>
    </r>
    <r>
      <rPr>
        <b/>
        <sz val="12"/>
        <color theme="1"/>
        <rFont val="Calibri"/>
        <family val="2"/>
      </rPr>
      <t>tanque séptico, um filtro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anaeróbio e sumidouro</t>
    </r>
    <r>
      <rPr>
        <sz val="12"/>
        <color theme="1"/>
        <rFont val="Calibri"/>
        <family val="2"/>
      </rPr>
      <t>, de acordo com as normas técnicas NBR 7229/93 e NBR</t>
    </r>
    <r>
      <rPr>
        <b/>
        <sz val="12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>13969/97. Caso haja rede de esgoto será dispensado o sumidouro.</t>
    </r>
  </si>
  <si>
    <t>10.Revestimento</t>
  </si>
  <si>
    <t>10.1. Reboco</t>
  </si>
  <si>
    <t>As paredes e a laje receberão reboco aplicado em uma camada única com argamassa de cimento, cal e areia fina no traço 1:2:5, interna e externamente.</t>
  </si>
  <si>
    <t xml:space="preserve">    10.2. Azulejo</t>
  </si>
  <si>
    <r>
      <t xml:space="preserve">As paredes que contém hidráulica da cozinha e da lavanderia (frente pia fogão e do tanque), receberão azulejo do tipo piso‐parede </t>
    </r>
    <r>
      <rPr>
        <b/>
        <sz val="12"/>
        <color theme="1"/>
        <rFont val="Calibri"/>
        <family val="2"/>
      </rPr>
      <t>Pei IV</t>
    </r>
    <r>
      <rPr>
        <sz val="12"/>
        <color theme="1"/>
        <rFont val="Calibri"/>
        <family val="2"/>
      </rPr>
      <t xml:space="preserve"> até a altura de 2,00m, de cor clara definidos pela fiscalização da obra.</t>
    </r>
  </si>
  <si>
    <t>O rejunte deverá ser com tonalidade mais escura que o azulejo.</t>
  </si>
  <si>
    <t>11.Piso</t>
  </si>
  <si>
    <t>11.1. Piso Cerâmico</t>
  </si>
  <si>
    <t>A caixa interna da obra será aterrada devidamente compactado. Uma camada de 5,0cm de brita será colocada sobre o aterro.</t>
  </si>
  <si>
    <r>
      <t xml:space="preserve">O contrapiso será executado com concreto simples com 5,0cm de espessura sobre a camada da brita. O piso cerâmico, </t>
    </r>
    <r>
      <rPr>
        <b/>
        <sz val="12"/>
        <color theme="1"/>
        <rFont val="Calibri"/>
        <family val="2"/>
      </rPr>
      <t>Pei IV</t>
    </r>
    <r>
      <rPr>
        <sz val="12"/>
        <color theme="1"/>
        <rFont val="Calibri"/>
        <family val="2"/>
      </rPr>
      <t xml:space="preserve"> a ser assentado será de cor clara definido pela fiscalização da obra.</t>
    </r>
  </si>
  <si>
    <t>12.Esquadrias</t>
  </si>
  <si>
    <t>12.1. Portas</t>
  </si>
  <si>
    <t>Todas as portas internas e externas serão de madeira laminadas com batentes maciços. As fechaduras serão metálicas do tipo externo, interno e ou de banheiro, conforme local a ser aplicado.</t>
  </si>
  <si>
    <t>12.2. Janelas</t>
  </si>
  <si>
    <t>As janelas serão de vidro temperado do tipo correr quatro folhas.</t>
  </si>
  <si>
    <t>12.3. Vidros</t>
  </si>
  <si>
    <t>Serão do tipo liso, 6mm de espessura.</t>
  </si>
  <si>
    <t>13.Pintura</t>
  </si>
  <si>
    <t>As paredes deverão ser lixadas para então receber duas de mão de selador acrílico, e após duas de mão tinta acrílica.</t>
  </si>
  <si>
    <t>14.Conclusão</t>
  </si>
  <si>
    <t>14.1. Limpeza e funcionamento</t>
  </si>
  <si>
    <t>A obra deverá ser entregue limpa e em condições de funcionamento.</t>
  </si>
  <si>
    <t>Proprietários:</t>
  </si>
  <si>
    <t>____________________________________________</t>
  </si>
  <si>
    <t>_______________________________________</t>
  </si>
  <si>
    <t xml:space="preserve"> </t>
  </si>
  <si>
    <t>LOTE:</t>
  </si>
  <si>
    <t>QUADRA:</t>
  </si>
  <si>
    <t>ZONA:</t>
  </si>
  <si>
    <t>LOTEAMENTO:</t>
  </si>
  <si>
    <t>Altura maxima:</t>
  </si>
  <si>
    <t>Numero de pavimentos:</t>
  </si>
  <si>
    <t>Numero de vagas de estacionamento:</t>
  </si>
  <si>
    <t>PROJETO:</t>
  </si>
  <si>
    <t>1.1. Limpeza</t>
  </si>
  <si>
    <t>A área a ser construída deverá ser limpa e regularizada com maquinário adequado.</t>
  </si>
  <si>
    <t>A obra deverá ser locada na forma convencional.</t>
  </si>
  <si>
    <t>1.2. Locação da obra</t>
  </si>
  <si>
    <t>Data e Local:</t>
  </si>
  <si>
    <t>ÁREA DE  CONSTRUÇÃO EXISTENTE:</t>
  </si>
  <si>
    <t>ÁREA DE CONSTRUÇÃO:</t>
  </si>
  <si>
    <t>Área de construção (m²)</t>
  </si>
  <si>
    <t>/</t>
  </si>
  <si>
    <t>Coeficiente de Aproveitamento (Item 9/Item4)</t>
  </si>
  <si>
    <t>CEP:</t>
  </si>
  <si>
    <t>https://site.sorriso.mt.gov.br/consultacep</t>
  </si>
  <si>
    <t>AUTORIZAÇÃO PARA APROVAÇÃO DE PROJETO</t>
  </si>
  <si>
    <t>ENG. CIVIL</t>
  </si>
  <si>
    <t>PROTOCOLO PROCESSO:</t>
  </si>
  <si>
    <t>MATRICULA:</t>
  </si>
  <si>
    <t>Por ser expressão da verdade e de minha livre vontade, firmo o presente.</t>
  </si>
  <si>
    <t>ÁREA DE REFORMA:</t>
  </si>
  <si>
    <t>AC0625-3XXXXX</t>
  </si>
  <si>
    <t>Tipo de telhado:</t>
  </si>
  <si>
    <t>Tipo de telha:</t>
  </si>
  <si>
    <t>RESPONSAVEL TÉCNICO:</t>
  </si>
  <si>
    <t>Tipo de forro, Exemplo: PVC, GESSO ou  LAJE DE CONCRETO ARMADO</t>
  </si>
  <si>
    <t xml:space="preserve">A supra estrutura será composta com pilares, vigas, vergas e contra vergas em concreto armado convencional FCK 20MPA. </t>
  </si>
  <si>
    <t>LOGRADOURO e N°:</t>
  </si>
  <si>
    <t>Tipo de Obra:</t>
  </si>
  <si>
    <t>LINK DA PASTA NO DRIVE</t>
  </si>
  <si>
    <t>https://drive.google.com/drive/folders/1889ELZ2h8ZOq3PtQulZl2bDMXn2M38Ko?usp=sharing</t>
  </si>
  <si>
    <r>
      <t xml:space="preserve">À 
</t>
    </r>
    <r>
      <rPr>
        <b/>
        <sz val="12"/>
        <color theme="1"/>
        <rFont val="Arial"/>
        <family val="2"/>
      </rPr>
      <t>Secretaria Municipal da Cidade – SEMCID</t>
    </r>
    <r>
      <rPr>
        <sz val="12"/>
        <color theme="1"/>
        <rFont val="Arial"/>
        <family val="2"/>
      </rPr>
      <t xml:space="preserve">
Departamento de Aprovação de Projetos
</t>
    </r>
  </si>
  <si>
    <r>
      <t>Área</t>
    </r>
    <r>
      <rPr>
        <b/>
        <sz val="11"/>
        <rFont val="Calibri"/>
        <family val="2"/>
        <scheme val="minor"/>
      </rPr>
      <t xml:space="preserve"> de existente</t>
    </r>
    <r>
      <rPr>
        <b/>
        <sz val="11"/>
        <color theme="1"/>
        <rFont val="Calibri"/>
        <family val="2"/>
        <scheme val="minor"/>
      </rPr>
      <t xml:space="preserve"> (m²)</t>
    </r>
  </si>
  <si>
    <t>LEANDRO DE SOUZA PEREIRA</t>
  </si>
  <si>
    <t>Nº ALVARÁ</t>
  </si>
  <si>
    <t>Estou igualmente ciente de que todas as taxas decorrentes deste processo serão emitidas em nome(s) aqui representado(s), enquanto proprietário(s) do imóvel, e assumo total responsabilidade pelo seu pagamento.</t>
  </si>
  <si>
    <t>{{proprietario_1}}</t>
  </si>
  <si>
    <t>{{num_doc_1}}</t>
  </si>
  <si>
    <t>{{num_doc_2}}</t>
  </si>
  <si>
    <t>{{proprietario_2}}</t>
  </si>
  <si>
    <t>{{area_construida_total}}</t>
  </si>
  <si>
    <t>{{area}}</t>
  </si>
  <si>
    <t>{{loteamento}}</t>
  </si>
  <si>
    <t>{{lote}}</t>
  </si>
  <si>
    <t>{{quadra}}</t>
  </si>
  <si>
    <t>{{matricula}}</t>
  </si>
  <si>
    <t>{{altura_maxima}}</t>
  </si>
  <si>
    <t>{{numero_pavimentos}}</t>
  </si>
  <si>
    <t>{{numero_vagas}}</t>
  </si>
  <si>
    <t>{{tipo_telhado}}</t>
  </si>
  <si>
    <t>duas águas embutidas na platibanda</t>
  </si>
  <si>
    <t>Inclinação do telhado exemplo; 10% ou 10 e 15%:</t>
  </si>
  <si>
    <t>{{inclinacao_telhado}}</t>
  </si>
  <si>
    <t>{{tipo_forro}}</t>
  </si>
  <si>
    <t>{{confrontacao_frente}}</t>
  </si>
  <si>
    <t>{{cep}}</t>
  </si>
  <si>
    <t>{{zona_zoneamento}}</t>
  </si>
  <si>
    <t>{{finalidade_obra}}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</si>
</sst>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CPF: &quot;@"/>
    <numFmt numFmtId="165" formatCode="0.00&quot;m²&quot;"/>
    <numFmt numFmtId="166" formatCode="General&quot;m²&quot;"/>
    <numFmt numFmtId="167" formatCode="0.000"/>
    <numFmt numFmtId="168" formatCode="&quot;CREA RNP: &quot;@"/>
    <numFmt numFmtId="169" formatCode="[$-416]dd\-mmm\-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u/>
      <sz val="12"/>
      <color theme="1"/>
      <name val="Calibri"/>
      <family val="2"/>
    </font>
    <font>
      <sz val="10.5"/>
      <color rgb="FF333333"/>
      <name val="Arial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12">
    <xf numFmtId="0" fontId="0" fillId="0" borderId="0" xfId="0"/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/>
    <xf numFmtId="43" fontId="0" fillId="0" borderId="1" xfId="1" applyFont="1" applyBorder="1" applyAlignment="1"/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1" applyFont="1" applyBorder="1" applyAlignment="1">
      <alignment horizontal="right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 wrapText="1" indent="1"/>
    </xf>
    <xf numFmtId="49" fontId="0" fillId="0" borderId="0" xfId="0" applyNumberFormat="1"/>
    <xf numFmtId="0" fontId="10" fillId="0" borderId="0" xfId="0" applyFont="1" applyAlignment="1">
      <alignment horizontal="left" vertical="center" indent="1"/>
    </xf>
    <xf numFmtId="0" fontId="12" fillId="0" borderId="0" xfId="0" applyFont="1" applyAlignment="1">
      <alignment vertical="center"/>
    </xf>
    <xf numFmtId="0" fontId="4" fillId="0" borderId="0" xfId="0" applyFont="1" applyAlignment="1">
      <alignment horizontal="justify"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justify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64" fontId="8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justify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166" fontId="2" fillId="0" borderId="0" xfId="0" applyNumberFormat="1" applyFont="1" applyAlignment="1">
      <alignment horizontal="left"/>
    </xf>
    <xf numFmtId="0" fontId="6" fillId="0" borderId="0" xfId="0" applyFont="1"/>
    <xf numFmtId="0" fontId="0" fillId="0" borderId="0" xfId="0" applyProtection="1">
      <protection locked="0"/>
    </xf>
    <xf numFmtId="165" fontId="4" fillId="3" borderId="0" xfId="0" applyNumberFormat="1" applyFont="1" applyFill="1" applyAlignment="1" applyProtection="1">
      <alignment horizontal="left" vertical="center" indent="1"/>
      <protection locked="0"/>
    </xf>
    <xf numFmtId="0" fontId="0" fillId="0" borderId="0" xfId="0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43" fontId="0" fillId="0" borderId="1" xfId="0" applyNumberFormat="1" applyBorder="1" applyAlignment="1">
      <alignment horizontal="right"/>
    </xf>
    <xf numFmtId="0" fontId="15" fillId="0" borderId="0" xfId="3" applyProtection="1">
      <protection locked="0"/>
    </xf>
    <xf numFmtId="0" fontId="0" fillId="0" borderId="0" xfId="0" applyAlignment="1">
      <alignment horizontal="center"/>
    </xf>
    <xf numFmtId="49" fontId="6" fillId="0" borderId="0" xfId="0" applyNumberFormat="1" applyFont="1"/>
    <xf numFmtId="0" fontId="6" fillId="0" borderId="0" xfId="0" applyFont="1" applyAlignment="1">
      <alignment horizontal="center"/>
    </xf>
    <xf numFmtId="0" fontId="10" fillId="0" borderId="0" xfId="0" applyFont="1" applyAlignment="1">
      <alignment horizontal="justify" vertical="center"/>
    </xf>
    <xf numFmtId="0" fontId="6" fillId="0" borderId="0" xfId="0" applyFont="1" applyAlignment="1">
      <alignment horizontal="left"/>
    </xf>
    <xf numFmtId="0" fontId="2" fillId="3" borderId="0" xfId="0" applyFont="1" applyFill="1" applyAlignment="1" applyProtection="1">
      <alignment horizontal="left"/>
      <protection locked="0"/>
    </xf>
    <xf numFmtId="49" fontId="2" fillId="3" borderId="0" xfId="0" applyNumberFormat="1" applyFont="1" applyFill="1" applyAlignment="1" applyProtection="1">
      <alignment horizontal="left"/>
      <protection locked="0"/>
    </xf>
    <xf numFmtId="0" fontId="2" fillId="3" borderId="0" xfId="0" applyFont="1" applyFill="1" applyProtection="1">
      <protection locked="0"/>
    </xf>
    <xf numFmtId="165" fontId="10" fillId="3" borderId="0" xfId="0" applyNumberFormat="1" applyFont="1" applyFill="1" applyAlignment="1" applyProtection="1">
      <alignment horizontal="left" vertical="center" indent="1"/>
      <protection locked="0"/>
    </xf>
    <xf numFmtId="0" fontId="17" fillId="3" borderId="0" xfId="0" applyFont="1" applyFill="1" applyAlignment="1" applyProtection="1">
      <alignment horizontal="left" vertical="center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horizontal="left" vertical="top" wrapText="1"/>
      <protection locked="0"/>
    </xf>
    <xf numFmtId="0" fontId="2" fillId="3" borderId="0" xfId="0" applyFont="1" applyFill="1" applyAlignment="1" applyProtection="1">
      <alignment horizontal="left" vertical="center" wrapText="1"/>
      <protection locked="0"/>
    </xf>
    <xf numFmtId="0" fontId="10" fillId="3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/>
      <protection locked="0"/>
    </xf>
    <xf numFmtId="9" fontId="2" fillId="3" borderId="0" xfId="0" applyNumberFormat="1" applyFont="1" applyFill="1" applyAlignment="1" applyProtection="1">
      <alignment horizontal="left" vertical="center" wrapText="1"/>
      <protection locked="0"/>
    </xf>
    <xf numFmtId="168" fontId="4" fillId="0" borderId="0" xfId="0" applyNumberFormat="1" applyFont="1" applyAlignment="1">
      <alignment horizontal="center" vertical="center"/>
    </xf>
    <xf numFmtId="168" fontId="10" fillId="3" borderId="0" xfId="0" applyNumberFormat="1" applyFont="1" applyFill="1" applyAlignment="1">
      <alignment horizontal="center" vertical="center"/>
    </xf>
    <xf numFmtId="0" fontId="9" fillId="0" borderId="0" xfId="0" applyFont="1" applyAlignment="1" applyProtection="1">
      <alignment horizontal="left" vertical="center"/>
      <protection locked="0"/>
    </xf>
    <xf numFmtId="0" fontId="18" fillId="0" borderId="1" xfId="0" applyFont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/>
    <xf numFmtId="49" fontId="19" fillId="0" borderId="0" xfId="0" applyNumberFormat="1" applyFont="1" applyAlignment="1">
      <alignment horizontal="left" vertical="center" wrapText="1"/>
    </xf>
    <xf numFmtId="49" fontId="19" fillId="0" borderId="0" xfId="0" applyNumberFormat="1" applyFont="1" applyAlignment="1">
      <alignment horizontal="center" vertical="center" wrapText="1"/>
    </xf>
    <xf numFmtId="49" fontId="19" fillId="0" borderId="0" xfId="0" applyNumberFormat="1" applyFont="1" applyAlignment="1">
      <alignment wrapText="1"/>
    </xf>
    <xf numFmtId="0" fontId="19" fillId="0" borderId="5" xfId="0" applyFont="1" applyBorder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169" fontId="0" fillId="0" borderId="0" xfId="0" applyNumberFormat="1" applyProtection="1">
      <protection locked="0"/>
    </xf>
    <xf numFmtId="3" fontId="2" fillId="3" borderId="0" xfId="0" applyNumberFormat="1" applyFont="1" applyFill="1" applyAlignment="1" applyProtection="1">
      <alignment horizontal="left" vertical="top" wrapText="1"/>
      <protection locked="0"/>
    </xf>
    <xf numFmtId="2" fontId="0" fillId="0" borderId="1" xfId="0" applyNumberFormat="1" applyBorder="1"/>
    <xf numFmtId="0" fontId="21" fillId="0" borderId="0" xfId="0" applyFont="1"/>
    <xf numFmtId="0" fontId="19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5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2" xfId="1" applyFont="1" applyBorder="1" applyAlignment="1">
      <alignment horizontal="right"/>
    </xf>
    <xf numFmtId="43" fontId="0" fillId="0" borderId="4" xfId="1" applyFont="1" applyBorder="1" applyAlignment="1">
      <alignment horizontal="right"/>
    </xf>
    <xf numFmtId="43" fontId="0" fillId="0" borderId="3" xfId="1" applyFont="1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10" fontId="0" fillId="0" borderId="2" xfId="2" applyNumberFormat="1" applyFont="1" applyBorder="1" applyAlignment="1">
      <alignment horizontal="right"/>
    </xf>
    <xf numFmtId="10" fontId="0" fillId="0" borderId="4" xfId="2" applyNumberFormat="1" applyFont="1" applyBorder="1" applyAlignment="1">
      <alignment horizontal="right"/>
    </xf>
    <xf numFmtId="10" fontId="0" fillId="0" borderId="3" xfId="2" applyNumberFormat="1" applyFont="1" applyBorder="1" applyAlignment="1">
      <alignment horizontal="right"/>
    </xf>
    <xf numFmtId="167" fontId="0" fillId="0" borderId="2" xfId="2" applyNumberFormat="1" applyFont="1" applyBorder="1" applyAlignment="1">
      <alignment horizontal="right"/>
    </xf>
    <xf numFmtId="167" fontId="0" fillId="0" borderId="4" xfId="2" applyNumberFormat="1" applyFont="1" applyBorder="1" applyAlignment="1">
      <alignment horizontal="right"/>
    </xf>
    <xf numFmtId="167" fontId="0" fillId="0" borderId="3" xfId="2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164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43" fontId="0" fillId="0" borderId="2" xfId="0" applyNumberFormat="1" applyBorder="1" applyAlignment="1">
      <alignment horizontal="right"/>
    </xf>
    <xf numFmtId="43" fontId="0" fillId="0" borderId="2" xfId="1" quotePrefix="1" applyFont="1" applyBorder="1" applyAlignment="1">
      <alignment horizontal="right"/>
    </xf>
  </cellXfs>
  <cellStyles count="4">
    <cellStyle name="Hiperlink" xfId="3" builtinId="8"/>
    <cellStyle name="Normal" xfId="0" builtinId="0"/>
    <cellStyle name="Porcentagem" xfId="2" builtinId="5"/>
    <cellStyle name="Vírgula" xfId="1" builtinId="3"/>
  </cellStyles>
  <dxfs count="3"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left/>
        <right/>
        <top/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drive/folders/1889ELZ2h8ZOq3PtQulZl2bDMXn2M38Ko?usp=sharing" TargetMode="External"/><Relationship Id="rId1" Type="http://schemas.openxmlformats.org/officeDocument/2006/relationships/hyperlink" Target="https://site.sorriso.mt.gov.br/consultac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DAE5B-555E-40D0-9276-90B0B04BD197}">
  <sheetPr codeName="Planilha1">
    <tabColor rgb="FFFFFF00"/>
  </sheetPr>
  <dimension ref="A1:D72"/>
  <sheetViews>
    <sheetView tabSelected="1" topLeftCell="A31" zoomScaleNormal="100" workbookViewId="0">
      <selection activeCell="A66" sqref="A66"/>
    </sheetView>
  </sheetViews>
  <sheetFormatPr defaultColWidth="9.28515625" defaultRowHeight="15" x14ac:dyDescent="0.25"/>
  <cols>
    <col min="1" max="1" width="88.42578125" style="41" customWidth="1"/>
    <col min="2" max="2" width="37" style="41" customWidth="1"/>
    <col min="3" max="3" width="9.28515625" style="41"/>
    <col min="4" max="4" width="38.28515625" style="41" customWidth="1"/>
    <col min="5" max="16384" width="9.28515625" style="41"/>
  </cols>
  <sheetData>
    <row r="1" spans="1:2" x14ac:dyDescent="0.25">
      <c r="A1" t="s">
        <v>89</v>
      </c>
    </row>
    <row r="2" spans="1:2" x14ac:dyDescent="0.25">
      <c r="A2" s="55" t="s">
        <v>144</v>
      </c>
    </row>
    <row r="3" spans="1:2" x14ac:dyDescent="0.25">
      <c r="A3" s="20" t="s">
        <v>28</v>
      </c>
    </row>
    <row r="4" spans="1:2" x14ac:dyDescent="0.25">
      <c r="A4" s="53" t="s">
        <v>123</v>
      </c>
    </row>
    <row r="5" spans="1:2" x14ac:dyDescent="0.25">
      <c r="A5" s="20" t="s">
        <v>2</v>
      </c>
    </row>
    <row r="6" spans="1:2" x14ac:dyDescent="0.25">
      <c r="A6" s="54" t="s">
        <v>124</v>
      </c>
    </row>
    <row r="7" spans="1:2" x14ac:dyDescent="0.25">
      <c r="A7" s="20" t="s">
        <v>28</v>
      </c>
    </row>
    <row r="8" spans="1:2" x14ac:dyDescent="0.25">
      <c r="A8" s="53" t="s">
        <v>126</v>
      </c>
    </row>
    <row r="9" spans="1:2" x14ac:dyDescent="0.25">
      <c r="A9" s="20" t="s">
        <v>2</v>
      </c>
    </row>
    <row r="10" spans="1:2" x14ac:dyDescent="0.25">
      <c r="A10" s="54" t="s">
        <v>125</v>
      </c>
    </row>
    <row r="11" spans="1:2" x14ac:dyDescent="0.25">
      <c r="A11" s="20" t="s">
        <v>0</v>
      </c>
    </row>
    <row r="12" spans="1:2" x14ac:dyDescent="0.25">
      <c r="A12" s="20" t="s">
        <v>144</v>
      </c>
    </row>
    <row r="13" spans="1:2" x14ac:dyDescent="0.25">
      <c r="A13" s="66" t="s">
        <v>115</v>
      </c>
    </row>
    <row r="14" spans="1:2" ht="15.75" x14ac:dyDescent="0.25">
      <c r="A14" s="56" t="s">
        <v>23</v>
      </c>
    </row>
    <row r="15" spans="1:2" x14ac:dyDescent="0.25">
      <c r="A15" s="66" t="s">
        <v>95</v>
      </c>
      <c r="B15" s="82" t="s">
        <v>121</v>
      </c>
    </row>
    <row r="16" spans="1:2" ht="15.75" x14ac:dyDescent="0.25">
      <c r="A16" s="42"/>
    </row>
    <row r="17" spans="1:1" x14ac:dyDescent="0.25">
      <c r="A17" s="66" t="s">
        <v>1</v>
      </c>
    </row>
    <row r="18" spans="1:1" ht="15.75" x14ac:dyDescent="0.25">
      <c r="A18" s="56" t="s">
        <v>127</v>
      </c>
    </row>
    <row r="19" spans="1:1" x14ac:dyDescent="0.25">
      <c r="A19" s="66" t="s">
        <v>107</v>
      </c>
    </row>
    <row r="20" spans="1:1" ht="15.75" x14ac:dyDescent="0.25">
      <c r="A20" s="42">
        <v>0</v>
      </c>
    </row>
    <row r="21" spans="1:1" x14ac:dyDescent="0.25">
      <c r="A21" s="20" t="s">
        <v>3</v>
      </c>
    </row>
    <row r="22" spans="1:1" ht="15.75" x14ac:dyDescent="0.25">
      <c r="A22" s="56" t="s">
        <v>128</v>
      </c>
    </row>
    <row r="23" spans="1:1" x14ac:dyDescent="0.25">
      <c r="A23" s="20" t="s">
        <v>29</v>
      </c>
    </row>
    <row r="24" spans="1:1" x14ac:dyDescent="0.25">
      <c r="A24" s="20" t="s">
        <v>114</v>
      </c>
    </row>
    <row r="25" spans="1:1" x14ac:dyDescent="0.25">
      <c r="A25" s="57" t="s">
        <v>141</v>
      </c>
    </row>
    <row r="26" spans="1:1" x14ac:dyDescent="0.25">
      <c r="A26" s="20" t="s">
        <v>82</v>
      </c>
    </row>
    <row r="27" spans="1:1" x14ac:dyDescent="0.25">
      <c r="A27" s="57" t="s">
        <v>130</v>
      </c>
    </row>
    <row r="28" spans="1:1" x14ac:dyDescent="0.25">
      <c r="A28" s="20" t="s">
        <v>83</v>
      </c>
    </row>
    <row r="29" spans="1:1" x14ac:dyDescent="0.25">
      <c r="A29" s="57" t="s">
        <v>131</v>
      </c>
    </row>
    <row r="30" spans="1:1" x14ac:dyDescent="0.25">
      <c r="A30" s="20" t="s">
        <v>85</v>
      </c>
    </row>
    <row r="31" spans="1:1" x14ac:dyDescent="0.25">
      <c r="A31" s="57" t="s">
        <v>129</v>
      </c>
    </row>
    <row r="32" spans="1:1" x14ac:dyDescent="0.25">
      <c r="A32" s="20" t="s">
        <v>84</v>
      </c>
    </row>
    <row r="33" spans="1:4" x14ac:dyDescent="0.25">
      <c r="A33" s="57" t="s">
        <v>143</v>
      </c>
    </row>
    <row r="34" spans="1:4" ht="82.5" customHeight="1" x14ac:dyDescent="0.25">
      <c r="A34" s="58" t="str">
        <f>"" &amp; Dados!A25 &amp; ", lote " &amp; Dados!A27 &amp; ", quadra " &amp; Dados!A29 &amp; ", LOTEAMENTO "&amp; Dados!A31 &amp;", SORRISO/MT."</f>
        <v>{{confrontacao_frente}}, lote {{lote}}, quadra {{quadra}}, LOTEAMENTO {{loteamento}}, SORRISO/MT.</v>
      </c>
      <c r="D34" s="25"/>
    </row>
    <row r="35" spans="1:4" ht="14.45" customHeight="1" x14ac:dyDescent="0.25">
      <c r="A35" s="20" t="s">
        <v>105</v>
      </c>
      <c r="B35" s="47"/>
    </row>
    <row r="36" spans="1:4" ht="14.45" customHeight="1" x14ac:dyDescent="0.25">
      <c r="A36" s="78" t="s">
        <v>132</v>
      </c>
    </row>
    <row r="37" spans="1:4" ht="14.45" customHeight="1" x14ac:dyDescent="0.25">
      <c r="A37" s="20" t="s">
        <v>100</v>
      </c>
      <c r="B37" s="47" t="s">
        <v>101</v>
      </c>
    </row>
    <row r="38" spans="1:4" ht="14.45" customHeight="1" x14ac:dyDescent="0.25">
      <c r="A38" s="59" t="s">
        <v>142</v>
      </c>
    </row>
    <row r="39" spans="1:4" ht="17.25" customHeight="1" x14ac:dyDescent="0.25">
      <c r="A39" s="43" t="s">
        <v>86</v>
      </c>
    </row>
    <row r="40" spans="1:4" ht="17.25" customHeight="1" x14ac:dyDescent="0.25">
      <c r="A40" s="60" t="s">
        <v>133</v>
      </c>
    </row>
    <row r="41" spans="1:4" ht="17.25" customHeight="1" x14ac:dyDescent="0.25">
      <c r="A41" s="43" t="s">
        <v>87</v>
      </c>
    </row>
    <row r="42" spans="1:4" ht="17.25" customHeight="1" x14ac:dyDescent="0.25">
      <c r="A42" s="60" t="s">
        <v>134</v>
      </c>
    </row>
    <row r="43" spans="1:4" ht="17.25" customHeight="1" x14ac:dyDescent="0.25">
      <c r="A43" s="43" t="s">
        <v>88</v>
      </c>
    </row>
    <row r="44" spans="1:4" ht="17.25" customHeight="1" x14ac:dyDescent="0.25">
      <c r="A44" s="60" t="s">
        <v>135</v>
      </c>
    </row>
    <row r="45" spans="1:4" ht="17.25" customHeight="1" x14ac:dyDescent="0.25">
      <c r="A45" s="43" t="s">
        <v>109</v>
      </c>
    </row>
    <row r="46" spans="1:4" ht="17.25" customHeight="1" x14ac:dyDescent="0.25">
      <c r="A46" s="63" t="s">
        <v>137</v>
      </c>
    </row>
    <row r="47" spans="1:4" ht="17.25" customHeight="1" x14ac:dyDescent="0.25">
      <c r="A47" s="43" t="s">
        <v>110</v>
      </c>
    </row>
    <row r="48" spans="1:4" ht="17.25" customHeight="1" x14ac:dyDescent="0.25">
      <c r="A48" s="43" t="s">
        <v>136</v>
      </c>
    </row>
    <row r="49" spans="1:4" ht="17.25" customHeight="1" x14ac:dyDescent="0.25">
      <c r="A49" s="43" t="s">
        <v>138</v>
      </c>
    </row>
    <row r="50" spans="1:4" ht="17.25" customHeight="1" x14ac:dyDescent="0.25">
      <c r="A50" s="60" t="s">
        <v>139</v>
      </c>
    </row>
    <row r="51" spans="1:4" ht="17.25" customHeight="1" x14ac:dyDescent="0.25">
      <c r="A51" s="43" t="s">
        <v>112</v>
      </c>
    </row>
    <row r="52" spans="1:4" ht="17.25" customHeight="1" x14ac:dyDescent="0.25">
      <c r="A52" s="43" t="s">
        <v>140</v>
      </c>
    </row>
    <row r="53" spans="1:4" x14ac:dyDescent="0.25">
      <c r="A53" t="s">
        <v>111</v>
      </c>
    </row>
    <row r="54" spans="1:4" ht="15.75" x14ac:dyDescent="0.25">
      <c r="A54" s="61" t="s">
        <v>120</v>
      </c>
    </row>
    <row r="55" spans="1:4" ht="15.75" x14ac:dyDescent="0.25">
      <c r="A55" s="65" t="str">
        <f>IF(A54="LEANDRO DE SOUZA PEREIRA", "1214579051", IF(A54="PAULO MIGUEL GOULART DAL ZOT", "1222999722", "NOME NÃO ENCONTRADO"))</f>
        <v>1214579051</v>
      </c>
    </row>
    <row r="56" spans="1:4" ht="15.75" x14ac:dyDescent="0.25">
      <c r="A56" s="61" t="s">
        <v>103</v>
      </c>
    </row>
    <row r="58" spans="1:4" x14ac:dyDescent="0.25">
      <c r="A58" t="s">
        <v>94</v>
      </c>
    </row>
    <row r="59" spans="1:4" x14ac:dyDescent="0.25">
      <c r="A59" s="62" t="str">
        <f ca="1">"Sorriso/MT, " &amp; TEXT(TODAY(),"dd ""de"" mmmm ""de"" aaaa")</f>
        <v>Sorriso/MT, 28 de maio de 2026</v>
      </c>
      <c r="D59" s="77"/>
    </row>
    <row r="61" spans="1:4" x14ac:dyDescent="0.25">
      <c r="A61" t="s">
        <v>104</v>
      </c>
    </row>
    <row r="62" spans="1:4" ht="15.75" x14ac:dyDescent="0.25">
      <c r="A62" s="61" t="s">
        <v>108</v>
      </c>
    </row>
    <row r="71" spans="1:1" x14ac:dyDescent="0.25">
      <c r="A71" t="s">
        <v>116</v>
      </c>
    </row>
    <row r="72" spans="1:1" x14ac:dyDescent="0.25">
      <c r="A72" s="47" t="s">
        <v>117</v>
      </c>
    </row>
  </sheetData>
  <dataValidations count="3">
    <dataValidation type="list" allowBlank="1" showInputMessage="1" showErrorMessage="1" sqref="A46" xr:uid="{2A4651C4-232B-45D8-9BA7-08F52FD8DBC9}">
      <formula1>"meia água embutido na platibanda, duas águas embutidas na platibanda, telhado aparente meia água, telhado aparente duas águas, telhado aparente quatro águas,"</formula1>
    </dataValidation>
    <dataValidation type="list" allowBlank="1" showInputMessage="1" showErrorMessage="1" sqref="A54" xr:uid="{2EF08FC7-8ACC-44A5-A811-6E58568E9111}">
      <formula1>"LEANDRO DE SOUZA PEREIRA, PAULO MIGUEL GOULART DAL ZOT"</formula1>
    </dataValidation>
    <dataValidation type="list" allowBlank="1" showInputMessage="1" showErrorMessage="1" sqref="A14" xr:uid="{BA5BED0E-9CE4-4B91-8860-B4EFB52B9F36}">
      <formula1>"Alvenaria, Madeira, Pré-moldado"</formula1>
    </dataValidation>
  </dataValidations>
  <hyperlinks>
    <hyperlink ref="B37" r:id="rId1" xr:uid="{65DFCE54-8979-4A8B-846F-5FC24FFC6438}"/>
    <hyperlink ref="A72" r:id="rId2" xr:uid="{44EA1A0D-AB52-4C30-9FC7-19BA9EEFCDD6}"/>
  </hyperlinks>
  <pageMargins left="0.511811024" right="0.511811024" top="0.78740157499999996" bottom="0.78740157499999996" header="0.31496062000000002" footer="0.31496062000000002"/>
  <pageSetup paperSize="9" orientation="portrait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62F7-6522-4C0D-B42A-0F80830FF9AF}">
  <sheetPr codeName="Planilha3">
    <pageSetUpPr fitToPage="1"/>
  </sheetPr>
  <dimension ref="A1:O47"/>
  <sheetViews>
    <sheetView showGridLines="0" topLeftCell="B1" zoomScaleNormal="100" workbookViewId="0">
      <selection activeCell="H43" sqref="H43:J43"/>
    </sheetView>
  </sheetViews>
  <sheetFormatPr defaultRowHeight="15" x14ac:dyDescent="0.25"/>
  <cols>
    <col min="1" max="1" width="4.42578125" customWidth="1"/>
    <col min="2" max="2" width="10.42578125" customWidth="1"/>
    <col min="3" max="3" width="24.7109375" customWidth="1"/>
    <col min="4" max="4" width="4.28515625" customWidth="1"/>
    <col min="5" max="5" width="15.7109375" customWidth="1"/>
    <col min="6" max="6" width="1.7109375" customWidth="1"/>
    <col min="7" max="7" width="4" customWidth="1"/>
    <col min="8" max="8" width="21" customWidth="1"/>
    <col min="9" max="9" width="4.7109375" customWidth="1"/>
    <col min="10" max="10" width="33.5703125" customWidth="1"/>
  </cols>
  <sheetData>
    <row r="1" spans="1:10" ht="21" x14ac:dyDescent="0.35">
      <c r="A1" s="83" t="s">
        <v>4</v>
      </c>
      <c r="B1" s="83"/>
      <c r="C1" s="83"/>
      <c r="D1" s="83"/>
      <c r="E1" s="83"/>
      <c r="F1" s="83"/>
      <c r="G1" s="83"/>
      <c r="H1" s="83"/>
      <c r="I1" s="83"/>
      <c r="J1" s="83"/>
    </row>
    <row r="2" spans="1:10" ht="21" x14ac:dyDescent="0.3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21" x14ac:dyDescent="0.35">
      <c r="A3" t="s">
        <v>78</v>
      </c>
      <c r="C3" s="40" t="str">
        <f>Dados!A4</f>
        <v>{{proprietario_1}}</v>
      </c>
      <c r="D3" s="50"/>
      <c r="E3" s="40"/>
      <c r="F3" s="2"/>
      <c r="G3" s="3" t="s">
        <v>98</v>
      </c>
      <c r="H3" s="52" t="str">
        <f>IF(AND(Dados!A8&lt;&gt;"", Dados!A10&lt;&gt;""), Dados!A8,"")</f>
        <v>{{proprietario_2}}</v>
      </c>
      <c r="I3" s="2"/>
      <c r="J3" s="2"/>
    </row>
    <row r="4" spans="1:10" ht="21" x14ac:dyDescent="0.35">
      <c r="A4" t="s">
        <v>2</v>
      </c>
      <c r="B4" s="49" t="str">
        <f>Dados!A6</f>
        <v>{{num_doc_1}}</v>
      </c>
      <c r="C4" s="40"/>
      <c r="D4" s="50"/>
      <c r="E4" s="49"/>
      <c r="F4" s="2"/>
      <c r="H4" s="40" t="str">
        <f>IF(Dados!A10&lt;&gt;"", "CPF: " &amp; Dados!A10, "")</f>
        <v>CPF: {{num_doc_2}}</v>
      </c>
      <c r="I4" s="2"/>
      <c r="J4" s="2"/>
    </row>
    <row r="6" spans="1:10" x14ac:dyDescent="0.25">
      <c r="A6" s="4">
        <v>1</v>
      </c>
      <c r="B6" s="5" t="s">
        <v>5</v>
      </c>
      <c r="C6" s="5" t="s">
        <v>6</v>
      </c>
      <c r="D6" s="84" t="s">
        <v>7</v>
      </c>
      <c r="E6" s="85"/>
      <c r="F6" s="6"/>
      <c r="G6" s="4">
        <v>2</v>
      </c>
      <c r="H6" s="84" t="s">
        <v>8</v>
      </c>
      <c r="I6" s="86"/>
      <c r="J6" s="85"/>
    </row>
    <row r="7" spans="1:10" x14ac:dyDescent="0.25">
      <c r="A7" s="7"/>
      <c r="B7" s="7" t="str">
        <f>Dados!A33</f>
        <v>{{zona_zoneamento}}</v>
      </c>
      <c r="C7" s="7" t="str">
        <f>Dados!A27</f>
        <v>{{lote}}</v>
      </c>
      <c r="D7" s="87" t="str">
        <f>Dados!A29</f>
        <v>{{quadra}}</v>
      </c>
      <c r="E7" s="89"/>
      <c r="F7" s="8"/>
      <c r="G7" s="7"/>
      <c r="H7" s="93" t="str">
        <f>Dados!A31</f>
        <v>{{loteamento}}</v>
      </c>
      <c r="I7" s="94"/>
      <c r="J7" s="95"/>
    </row>
    <row r="9" spans="1:10" x14ac:dyDescent="0.25">
      <c r="A9" s="4">
        <v>3</v>
      </c>
      <c r="B9" s="84" t="s">
        <v>97</v>
      </c>
      <c r="C9" s="86"/>
      <c r="D9" s="86"/>
      <c r="E9" s="85"/>
      <c r="F9" s="6"/>
      <c r="G9" s="4">
        <v>4</v>
      </c>
      <c r="H9" s="84" t="s">
        <v>9</v>
      </c>
      <c r="I9" s="86"/>
      <c r="J9" s="85"/>
    </row>
    <row r="10" spans="1:10" x14ac:dyDescent="0.25">
      <c r="A10" s="7"/>
      <c r="B10" s="44"/>
      <c r="C10" s="45"/>
      <c r="D10" s="45"/>
      <c r="E10" s="14" t="str">
        <f>Dados!A18</f>
        <v>{{area_construida_total}}</v>
      </c>
      <c r="F10" s="8"/>
      <c r="G10" s="7"/>
      <c r="H10" s="90" t="str">
        <f>Dados!A22</f>
        <v>{{area}}</v>
      </c>
      <c r="I10" s="91"/>
      <c r="J10" s="92"/>
    </row>
    <row r="11" spans="1:10" x14ac:dyDescent="0.25">
      <c r="B11" s="9"/>
      <c r="C11" s="9"/>
      <c r="D11" s="9"/>
      <c r="E11" s="9"/>
    </row>
    <row r="12" spans="1:10" x14ac:dyDescent="0.25">
      <c r="A12" s="4">
        <v>5</v>
      </c>
      <c r="B12" s="84" t="s">
        <v>119</v>
      </c>
      <c r="C12" s="86"/>
      <c r="D12" s="86"/>
      <c r="E12" s="85"/>
      <c r="F12" s="6"/>
      <c r="G12" s="4">
        <v>6</v>
      </c>
      <c r="H12" s="5" t="s">
        <v>10</v>
      </c>
      <c r="I12" s="5"/>
      <c r="J12" s="5"/>
    </row>
    <row r="13" spans="1:10" x14ac:dyDescent="0.25">
      <c r="A13" s="4"/>
      <c r="B13" s="97"/>
      <c r="C13" s="97"/>
      <c r="D13" s="97"/>
      <c r="E13" s="97"/>
      <c r="F13" s="6"/>
      <c r="G13" s="4"/>
      <c r="H13" s="11"/>
      <c r="I13" s="12"/>
      <c r="J13" s="13"/>
    </row>
    <row r="14" spans="1:10" x14ac:dyDescent="0.25">
      <c r="A14" s="7"/>
      <c r="B14" s="96" t="str">
        <f>IF(AND(Dados!A16&lt;&gt;"", Dados!B16&lt;&gt;""), Dados!B16,"")</f>
        <v/>
      </c>
      <c r="C14" s="96"/>
      <c r="D14" s="96"/>
      <c r="E14" s="79" t="str">
        <f>IF(Dados!A16&lt;&gt;"",Dados!A16,"")</f>
        <v/>
      </c>
      <c r="F14" s="8"/>
      <c r="G14" s="7"/>
      <c r="H14" s="87"/>
      <c r="I14" s="88"/>
      <c r="J14" s="89"/>
    </row>
    <row r="15" spans="1:10" x14ac:dyDescent="0.25">
      <c r="B15" s="9"/>
      <c r="C15" s="9"/>
      <c r="D15" s="9"/>
      <c r="E15" s="9"/>
    </row>
    <row r="16" spans="1:10" x14ac:dyDescent="0.25">
      <c r="A16" s="4">
        <v>7</v>
      </c>
      <c r="B16" s="84" t="s">
        <v>11</v>
      </c>
      <c r="C16" s="86"/>
      <c r="D16" s="86"/>
      <c r="E16" s="85"/>
      <c r="F16" s="6"/>
      <c r="G16" s="4">
        <v>8</v>
      </c>
      <c r="H16" s="84" t="s">
        <v>12</v>
      </c>
      <c r="I16" s="86"/>
      <c r="J16" s="85"/>
    </row>
    <row r="17" spans="1:12" x14ac:dyDescent="0.25">
      <c r="A17" s="7"/>
      <c r="B17" s="87"/>
      <c r="C17" s="88"/>
      <c r="D17" s="88"/>
      <c r="E17" s="89"/>
      <c r="F17" s="8"/>
      <c r="G17" s="7"/>
      <c r="H17" s="90">
        <v>0</v>
      </c>
      <c r="I17" s="91"/>
      <c r="J17" s="92"/>
    </row>
    <row r="19" spans="1:12" x14ac:dyDescent="0.25">
      <c r="A19" s="4">
        <v>9</v>
      </c>
      <c r="B19" s="11" t="s">
        <v>13</v>
      </c>
      <c r="C19" s="12"/>
      <c r="D19" s="5">
        <v>10</v>
      </c>
      <c r="E19" s="84" t="s">
        <v>14</v>
      </c>
      <c r="F19" s="86"/>
      <c r="G19" s="86"/>
      <c r="H19" s="85"/>
      <c r="I19" s="12">
        <v>11</v>
      </c>
      <c r="J19" s="10" t="s">
        <v>15</v>
      </c>
    </row>
    <row r="20" spans="1:12" x14ac:dyDescent="0.25">
      <c r="A20" s="7"/>
      <c r="B20" s="110" t="str">
        <f>IF(E14&lt;&gt;"", E10+E14, E10)</f>
        <v>{{area_construida_total}}</v>
      </c>
      <c r="C20" s="89"/>
      <c r="D20" s="7"/>
      <c r="E20" s="111">
        <f>B17+H17</f>
        <v>0</v>
      </c>
      <c r="F20" s="91"/>
      <c r="G20" s="91"/>
      <c r="H20" s="92"/>
      <c r="I20" s="15"/>
      <c r="J20" s="46" t="str">
        <f>B20</f>
        <v>{{area_construida_total}}</v>
      </c>
    </row>
    <row r="22" spans="1:12" x14ac:dyDescent="0.25">
      <c r="A22" s="4">
        <v>12</v>
      </c>
      <c r="B22" s="84" t="s">
        <v>16</v>
      </c>
      <c r="C22" s="86"/>
      <c r="D22" s="86"/>
      <c r="E22" s="85"/>
      <c r="F22" s="6"/>
      <c r="G22" s="4">
        <v>13</v>
      </c>
      <c r="H22" s="84" t="s">
        <v>17</v>
      </c>
      <c r="I22" s="86"/>
      <c r="J22" s="85"/>
      <c r="L22" s="80"/>
    </row>
    <row r="23" spans="1:12" x14ac:dyDescent="0.25">
      <c r="A23" s="7"/>
      <c r="B23" s="110" t="str">
        <f>B20</f>
        <v>{{area_construida_total}}</v>
      </c>
      <c r="C23" s="88"/>
      <c r="D23" s="88"/>
      <c r="E23" s="89"/>
      <c r="F23" s="8"/>
      <c r="G23" s="7"/>
      <c r="H23" s="87" t="str">
        <f>Dados!A44</f>
        <v>{{numero_vagas}}</v>
      </c>
      <c r="I23" s="88"/>
      <c r="J23" s="89"/>
    </row>
    <row r="25" spans="1:12" x14ac:dyDescent="0.25">
      <c r="A25" s="4">
        <v>14</v>
      </c>
      <c r="B25" s="84" t="s">
        <v>18</v>
      </c>
      <c r="C25" s="86"/>
      <c r="D25" s="86"/>
      <c r="E25" s="85"/>
      <c r="F25" s="6"/>
      <c r="G25" s="4">
        <v>15</v>
      </c>
      <c r="H25" s="11" t="s">
        <v>19</v>
      </c>
      <c r="I25" s="5">
        <v>16</v>
      </c>
      <c r="J25" s="5" t="s">
        <v>20</v>
      </c>
    </row>
    <row r="26" spans="1:12" x14ac:dyDescent="0.25">
      <c r="A26" s="7"/>
      <c r="B26" s="98" t="e">
        <f>1-((B23)/H10)</f>
        <v>#VALUE!</v>
      </c>
      <c r="C26" s="99"/>
      <c r="D26" s="99"/>
      <c r="E26" s="100"/>
      <c r="F26" s="8"/>
      <c r="G26" s="7"/>
      <c r="H26" s="16" t="str">
        <f>Dados!A42</f>
        <v>{{numero_pavimentos}}</v>
      </c>
      <c r="I26" s="7"/>
      <c r="J26" s="17" t="str">
        <f>Dados!A40</f>
        <v>{{altura_maxima}}</v>
      </c>
    </row>
    <row r="28" spans="1:12" x14ac:dyDescent="0.25">
      <c r="A28" s="4">
        <v>17</v>
      </c>
      <c r="B28" s="84" t="s">
        <v>21</v>
      </c>
      <c r="C28" s="86"/>
      <c r="D28" s="86"/>
      <c r="E28" s="85"/>
      <c r="F28" s="6"/>
      <c r="G28" s="4">
        <v>18</v>
      </c>
      <c r="H28" s="84" t="s">
        <v>99</v>
      </c>
      <c r="I28" s="86"/>
      <c r="J28" s="85"/>
    </row>
    <row r="29" spans="1:12" x14ac:dyDescent="0.25">
      <c r="A29" s="7"/>
      <c r="B29" s="98" t="e">
        <f>B23/H10</f>
        <v>#VALUE!</v>
      </c>
      <c r="C29" s="99"/>
      <c r="D29" s="99"/>
      <c r="E29" s="100"/>
      <c r="F29" s="8"/>
      <c r="G29" s="7"/>
      <c r="H29" s="101" t="e">
        <f>B20/H10</f>
        <v>#VALUE!</v>
      </c>
      <c r="I29" s="102"/>
      <c r="J29" s="103"/>
    </row>
    <row r="31" spans="1:12" ht="18.75" x14ac:dyDescent="0.25">
      <c r="A31" s="4">
        <v>19</v>
      </c>
      <c r="B31" s="96" t="s">
        <v>22</v>
      </c>
      <c r="C31" s="96"/>
      <c r="D31" s="96"/>
      <c r="E31" s="96"/>
      <c r="F31" s="96"/>
      <c r="G31" s="96"/>
      <c r="H31" s="96"/>
      <c r="I31" s="67" t="str">
        <f>IF(Dados!A14=J31, "X", "")</f>
        <v>X</v>
      </c>
      <c r="J31" s="5" t="s">
        <v>23</v>
      </c>
    </row>
    <row r="32" spans="1:12" ht="15" customHeight="1" x14ac:dyDescent="0.25">
      <c r="A32" s="105"/>
      <c r="B32" s="106" t="str">
        <f>Dados!A12</f>
        <v>{{finalidade_obra}}</v>
      </c>
      <c r="C32" s="106"/>
      <c r="D32" s="106"/>
      <c r="E32" s="106"/>
      <c r="F32" s="106"/>
      <c r="G32" s="106"/>
      <c r="H32" s="106"/>
      <c r="I32" s="67" t="str">
        <f>IF(Dados!A14=J32, "X", "")</f>
        <v/>
      </c>
      <c r="J32" s="5" t="s">
        <v>24</v>
      </c>
    </row>
    <row r="33" spans="1:15" ht="15" customHeight="1" x14ac:dyDescent="0.25">
      <c r="A33" s="105"/>
      <c r="B33" s="106"/>
      <c r="C33" s="106"/>
      <c r="D33" s="106"/>
      <c r="E33" s="106"/>
      <c r="F33" s="106"/>
      <c r="G33" s="106"/>
      <c r="H33" s="106"/>
      <c r="I33" s="67" t="str">
        <f>IF(Dados!A14=J33, "X", "")</f>
        <v/>
      </c>
      <c r="J33" s="5" t="s">
        <v>25</v>
      </c>
    </row>
    <row r="35" spans="1:15" x14ac:dyDescent="0.25">
      <c r="A35" t="s">
        <v>26</v>
      </c>
      <c r="H35" t="s">
        <v>27</v>
      </c>
      <c r="J35" s="80"/>
    </row>
    <row r="37" spans="1:15" x14ac:dyDescent="0.25">
      <c r="O37" s="22"/>
    </row>
    <row r="39" spans="1:15" x14ac:dyDescent="0.25">
      <c r="B39" s="107" t="str">
        <f>C3</f>
        <v>{{proprietario_1}}</v>
      </c>
      <c r="C39" s="107"/>
      <c r="D39" s="107"/>
      <c r="E39" s="107"/>
      <c r="H39" s="107" t="str">
        <f>Dados!A54</f>
        <v>LEANDRO DE SOUZA PEREIRA</v>
      </c>
      <c r="I39" s="107"/>
      <c r="J39" s="107"/>
    </row>
    <row r="40" spans="1:15" x14ac:dyDescent="0.25">
      <c r="B40" s="108" t="str">
        <f>B4</f>
        <v>{{num_doc_1}}</v>
      </c>
      <c r="C40" s="108"/>
      <c r="D40" s="108"/>
      <c r="E40" s="108"/>
      <c r="H40" s="109" t="str">
        <f>Dados!A55</f>
        <v>1214579051</v>
      </c>
      <c r="I40" s="109"/>
      <c r="J40" s="109"/>
    </row>
    <row r="42" spans="1:15" x14ac:dyDescent="0.25">
      <c r="B42" s="104"/>
      <c r="C42" s="104"/>
      <c r="D42" s="104"/>
      <c r="E42" s="104"/>
    </row>
    <row r="43" spans="1:15" x14ac:dyDescent="0.25">
      <c r="B43" s="104" t="str">
        <f>IF(AND(Dados!A8&lt;&gt;"", Dados!A10&lt;&gt;""), Dados!A8,"")</f>
        <v>{{proprietario_2}}</v>
      </c>
      <c r="C43" s="104"/>
      <c r="D43" s="104"/>
      <c r="E43" s="104"/>
      <c r="H43" s="104"/>
      <c r="I43" s="104"/>
      <c r="J43" s="104"/>
    </row>
    <row r="44" spans="1:15" x14ac:dyDescent="0.25">
      <c r="B44" s="104" t="str">
        <f>IF(Dados!A10&lt;&gt;"", "CPF: " &amp; Dados!A10, "")</f>
        <v>CPF: {{num_doc_2}}</v>
      </c>
      <c r="C44" s="104"/>
      <c r="D44" s="104"/>
      <c r="E44" s="104"/>
      <c r="H44" s="104"/>
      <c r="I44" s="104"/>
      <c r="J44" s="104"/>
    </row>
    <row r="45" spans="1:15" x14ac:dyDescent="0.25">
      <c r="B45" s="48"/>
      <c r="C45" s="48"/>
      <c r="D45" s="48"/>
      <c r="E45" s="48"/>
    </row>
    <row r="46" spans="1:15" x14ac:dyDescent="0.25">
      <c r="B46" s="104" t="str">
        <f ca="1">Dados!A59</f>
        <v>Sorriso/MT, 28 de maio de 2026</v>
      </c>
      <c r="C46" s="104"/>
    </row>
    <row r="47" spans="1:15" x14ac:dyDescent="0.25">
      <c r="J47" s="80"/>
    </row>
  </sheetData>
  <mergeCells count="42">
    <mergeCell ref="E19:H19"/>
    <mergeCell ref="B25:E25"/>
    <mergeCell ref="B26:E26"/>
    <mergeCell ref="B28:E28"/>
    <mergeCell ref="H28:J28"/>
    <mergeCell ref="B20:C20"/>
    <mergeCell ref="E20:H20"/>
    <mergeCell ref="B22:E22"/>
    <mergeCell ref="H22:J22"/>
    <mergeCell ref="B23:E23"/>
    <mergeCell ref="H23:J23"/>
    <mergeCell ref="B29:E29"/>
    <mergeCell ref="H29:J29"/>
    <mergeCell ref="B46:C46"/>
    <mergeCell ref="B31:H31"/>
    <mergeCell ref="A32:A33"/>
    <mergeCell ref="B32:H33"/>
    <mergeCell ref="B39:E39"/>
    <mergeCell ref="H39:J39"/>
    <mergeCell ref="B40:E40"/>
    <mergeCell ref="H40:J40"/>
    <mergeCell ref="B43:E43"/>
    <mergeCell ref="H43:J43"/>
    <mergeCell ref="B44:E44"/>
    <mergeCell ref="H44:J44"/>
    <mergeCell ref="B42:E42"/>
    <mergeCell ref="A1:J1"/>
    <mergeCell ref="D6:E6"/>
    <mergeCell ref="H6:J6"/>
    <mergeCell ref="B17:E17"/>
    <mergeCell ref="H17:J17"/>
    <mergeCell ref="D7:E7"/>
    <mergeCell ref="H7:J7"/>
    <mergeCell ref="B9:E9"/>
    <mergeCell ref="H9:J9"/>
    <mergeCell ref="H10:J10"/>
    <mergeCell ref="B12:E12"/>
    <mergeCell ref="B14:D14"/>
    <mergeCell ref="H14:J14"/>
    <mergeCell ref="B16:E16"/>
    <mergeCell ref="H16:J16"/>
    <mergeCell ref="B13:E13"/>
  </mergeCells>
  <pageMargins left="0.511811024" right="0.511811024" top="0.78740157499999996" bottom="0.78740157499999996" header="0.31496062000000002" footer="0.31496062000000002"/>
  <pageSetup paperSize="9" scale="74" orientation="portrait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0FC2600-DB3F-44BA-9F09-7391C82052D5}">
            <xm:f>AND(Dados!$A$8&lt;&gt;"", Dados!$A$10&lt;&gt;"")</xm:f>
            <x14:dxf>
              <border>
                <left/>
                <right/>
                <top/>
                <bottom style="thin">
                  <color auto="1"/>
                </bottom>
              </border>
            </x14:dxf>
          </x14:cfRule>
          <xm:sqref>B42:E42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05E9-72A0-4FB6-A411-4FAB3772ADAF}">
  <sheetPr codeName="Planilha5">
    <pageSetUpPr fitToPage="1"/>
  </sheetPr>
  <dimension ref="A2:A172"/>
  <sheetViews>
    <sheetView showGridLines="0" view="pageBreakPreview" zoomScaleNormal="100" zoomScaleSheetLayoutView="100" workbookViewId="0">
      <selection activeCell="A21" sqref="A21"/>
    </sheetView>
  </sheetViews>
  <sheetFormatPr defaultRowHeight="15" x14ac:dyDescent="0.25"/>
  <cols>
    <col min="1" max="1" width="90.7109375" customWidth="1"/>
  </cols>
  <sheetData>
    <row r="2" spans="1:1" x14ac:dyDescent="0.25">
      <c r="A2" s="19" t="s">
        <v>30</v>
      </c>
    </row>
    <row r="4" spans="1:1" x14ac:dyDescent="0.25">
      <c r="A4" s="20" t="s">
        <v>28</v>
      </c>
    </row>
    <row r="5" spans="1:1" x14ac:dyDescent="0.25">
      <c r="A5" s="37" t="str">
        <f>Dados!A4</f>
        <v>{{proprietario_1}}</v>
      </c>
    </row>
    <row r="6" spans="1:1" x14ac:dyDescent="0.25">
      <c r="A6" s="20" t="s">
        <v>2</v>
      </c>
    </row>
    <row r="7" spans="1:1" x14ac:dyDescent="0.25">
      <c r="A7" s="37" t="str">
        <f>Dados!A6</f>
        <v>{{num_doc_1}}</v>
      </c>
    </row>
    <row r="8" spans="1:1" x14ac:dyDescent="0.25">
      <c r="A8" s="20" t="str">
        <f>IF(Dados!A8&lt;&gt;"", "PROPRIETARIO: "," ")</f>
        <v xml:space="preserve">PROPRIETARIO: </v>
      </c>
    </row>
    <row r="9" spans="1:1" x14ac:dyDescent="0.25">
      <c r="A9" s="37" t="str">
        <f>IF(AND(Dados!A8&lt;&gt;"", Dados!A10&lt;&gt;""), Dados!A8,"")</f>
        <v>{{proprietario_2}}</v>
      </c>
    </row>
    <row r="10" spans="1:1" x14ac:dyDescent="0.25">
      <c r="A10" s="20" t="str">
        <f>IF(Dados!A10&lt;&gt;"", "CPF: "," ")</f>
        <v xml:space="preserve">CPF: </v>
      </c>
    </row>
    <row r="11" spans="1:1" x14ac:dyDescent="0.25">
      <c r="A11" s="37" t="str">
        <f>IF(Dados!A10&lt;&gt;"", "CPF: " &amp; Dados!A10, "")</f>
        <v>CPF: {{num_doc_2}}</v>
      </c>
    </row>
    <row r="12" spans="1:1" ht="9.75" customHeight="1" x14ac:dyDescent="0.25">
      <c r="A12" s="9"/>
    </row>
    <row r="13" spans="1:1" ht="9.75" customHeight="1" x14ac:dyDescent="0.25"/>
    <row r="14" spans="1:1" x14ac:dyDescent="0.25">
      <c r="A14" s="20" t="s">
        <v>0</v>
      </c>
    </row>
    <row r="15" spans="1:1" x14ac:dyDescent="0.25">
      <c r="A15" s="37" t="str">
        <f>Dados!A12</f>
        <v>{{finalidade_obra}}</v>
      </c>
    </row>
    <row r="16" spans="1:1" ht="9.75" customHeight="1" x14ac:dyDescent="0.25"/>
    <row r="17" spans="1:1" x14ac:dyDescent="0.25">
      <c r="A17" s="20" t="s">
        <v>96</v>
      </c>
    </row>
    <row r="18" spans="1:1" x14ac:dyDescent="0.25">
      <c r="A18" s="39" t="str">
        <f>Dados!A18</f>
        <v>{{area_construida_total}}</v>
      </c>
    </row>
    <row r="19" spans="1:1" ht="9.75" customHeight="1" x14ac:dyDescent="0.25">
      <c r="A19" s="39"/>
    </row>
    <row r="20" spans="1:1" ht="9" customHeight="1" x14ac:dyDescent="0.25">
      <c r="A20" s="1"/>
    </row>
    <row r="21" spans="1:1" x14ac:dyDescent="0.25">
      <c r="A21" s="20" t="s">
        <v>3</v>
      </c>
    </row>
    <row r="22" spans="1:1" x14ac:dyDescent="0.25">
      <c r="A22" s="39" t="str">
        <f>Dados!A22</f>
        <v>{{area}}</v>
      </c>
    </row>
    <row r="23" spans="1:1" ht="9.75" customHeight="1" x14ac:dyDescent="0.25"/>
    <row r="24" spans="1:1" x14ac:dyDescent="0.25">
      <c r="A24" s="20" t="s">
        <v>29</v>
      </c>
    </row>
    <row r="25" spans="1:1" ht="29.65" customHeight="1" x14ac:dyDescent="0.25">
      <c r="A25" s="38" t="str">
        <f>Dados!A34</f>
        <v>{{confrontacao_frente}}, lote {{lote}}, quadra {{quadra}}, LOTEAMENTO {{loteamento}}, SORRISO/MT.</v>
      </c>
    </row>
    <row r="27" spans="1:1" ht="15.75" x14ac:dyDescent="0.25">
      <c r="A27" s="26" t="s">
        <v>31</v>
      </c>
    </row>
    <row r="28" spans="1:1" ht="30" x14ac:dyDescent="0.25">
      <c r="A28" s="21" t="s">
        <v>32</v>
      </c>
    </row>
    <row r="29" spans="1:1" x14ac:dyDescent="0.25">
      <c r="A29" s="22"/>
    </row>
    <row r="30" spans="1:1" ht="15.75" x14ac:dyDescent="0.25">
      <c r="A30" s="26" t="s">
        <v>33</v>
      </c>
    </row>
    <row r="31" spans="1:1" ht="15.75" x14ac:dyDescent="0.25">
      <c r="A31" s="24"/>
    </row>
    <row r="32" spans="1:1" ht="16.5" customHeight="1" x14ac:dyDescent="0.25">
      <c r="A32" s="23" t="s">
        <v>90</v>
      </c>
    </row>
    <row r="33" spans="1:1" ht="16.5" customHeight="1" x14ac:dyDescent="0.25">
      <c r="A33" s="1" t="s">
        <v>91</v>
      </c>
    </row>
    <row r="34" spans="1:1" ht="16.5" customHeight="1" x14ac:dyDescent="0.25">
      <c r="A34" s="24"/>
    </row>
    <row r="35" spans="1:1" ht="16.5" customHeight="1" x14ac:dyDescent="0.25">
      <c r="A35" s="23" t="s">
        <v>93</v>
      </c>
    </row>
    <row r="36" spans="1:1" ht="16.5" customHeight="1" x14ac:dyDescent="0.25">
      <c r="A36" s="1" t="s">
        <v>92</v>
      </c>
    </row>
    <row r="37" spans="1:1" ht="16.5" customHeight="1" x14ac:dyDescent="0.25">
      <c r="A37" s="22"/>
    </row>
    <row r="38" spans="1:1" ht="15.75" x14ac:dyDescent="0.25">
      <c r="A38" s="26" t="s">
        <v>34</v>
      </c>
    </row>
    <row r="39" spans="1:1" ht="15.75" x14ac:dyDescent="0.25">
      <c r="A39" s="24"/>
    </row>
    <row r="40" spans="1:1" ht="15.75" x14ac:dyDescent="0.25">
      <c r="A40" s="23" t="s">
        <v>35</v>
      </c>
    </row>
    <row r="41" spans="1:1" ht="31.5" x14ac:dyDescent="0.25">
      <c r="A41" s="25" t="s">
        <v>36</v>
      </c>
    </row>
    <row r="42" spans="1:1" ht="15.75" x14ac:dyDescent="0.25">
      <c r="A42" s="23" t="s">
        <v>37</v>
      </c>
    </row>
    <row r="43" spans="1:1" ht="15.75" x14ac:dyDescent="0.25">
      <c r="A43" s="1" t="s">
        <v>38</v>
      </c>
    </row>
    <row r="44" spans="1:1" ht="15.75" x14ac:dyDescent="0.25">
      <c r="A44" s="1"/>
    </row>
    <row r="45" spans="1:1" ht="15.75" x14ac:dyDescent="0.25">
      <c r="A45" s="1"/>
    </row>
    <row r="46" spans="1:1" ht="15.75" x14ac:dyDescent="0.25">
      <c r="A46" s="1"/>
    </row>
    <row r="47" spans="1:1" ht="15.75" x14ac:dyDescent="0.25">
      <c r="A47" s="1"/>
    </row>
    <row r="48" spans="1:1" ht="15.75" x14ac:dyDescent="0.25">
      <c r="A48" s="1"/>
    </row>
    <row r="49" spans="1:1" ht="15.75" x14ac:dyDescent="0.25">
      <c r="A49" s="1"/>
    </row>
    <row r="50" spans="1:1" ht="15.75" x14ac:dyDescent="0.25">
      <c r="A50" s="1"/>
    </row>
    <row r="51" spans="1:1" x14ac:dyDescent="0.25">
      <c r="A51" s="27"/>
    </row>
    <row r="52" spans="1:1" ht="15.75" x14ac:dyDescent="0.25">
      <c r="A52" s="26" t="s">
        <v>39</v>
      </c>
    </row>
    <row r="53" spans="1:1" ht="15.75" x14ac:dyDescent="0.25">
      <c r="A53" s="24"/>
    </row>
    <row r="54" spans="1:1" ht="31.5" x14ac:dyDescent="0.25">
      <c r="A54" s="25" t="s">
        <v>40</v>
      </c>
    </row>
    <row r="55" spans="1:1" x14ac:dyDescent="0.25">
      <c r="A55" s="28"/>
    </row>
    <row r="56" spans="1:1" ht="15.75" x14ac:dyDescent="0.25">
      <c r="A56" s="26" t="s">
        <v>41</v>
      </c>
    </row>
    <row r="57" spans="1:1" x14ac:dyDescent="0.25">
      <c r="A57" s="29"/>
    </row>
    <row r="58" spans="1:1" ht="15.75" x14ac:dyDescent="0.25">
      <c r="A58" s="23" t="s">
        <v>42</v>
      </c>
    </row>
    <row r="59" spans="1:1" ht="31.5" x14ac:dyDescent="0.25">
      <c r="A59" s="25" t="s">
        <v>43</v>
      </c>
    </row>
    <row r="60" spans="1:1" x14ac:dyDescent="0.25">
      <c r="A60" s="29"/>
    </row>
    <row r="61" spans="1:1" ht="15.75" x14ac:dyDescent="0.25">
      <c r="A61" s="26" t="s">
        <v>44</v>
      </c>
    </row>
    <row r="62" spans="1:1" x14ac:dyDescent="0.25">
      <c r="A62" s="29"/>
    </row>
    <row r="63" spans="1:1" ht="31.5" x14ac:dyDescent="0.25">
      <c r="A63" s="25" t="s">
        <v>113</v>
      </c>
    </row>
    <row r="64" spans="1:1" ht="15.75" x14ac:dyDescent="0.25">
      <c r="A64" s="30"/>
    </row>
    <row r="65" spans="1:1" ht="15.75" x14ac:dyDescent="0.25">
      <c r="A65" s="26" t="s">
        <v>45</v>
      </c>
    </row>
    <row r="66" spans="1:1" x14ac:dyDescent="0.25">
      <c r="A66" s="29"/>
    </row>
    <row r="67" spans="1:1" ht="15.75" x14ac:dyDescent="0.25">
      <c r="A67" s="23" t="s">
        <v>46</v>
      </c>
    </row>
    <row r="68" spans="1:1" ht="47.25" x14ac:dyDescent="0.25">
      <c r="A68" s="25" t="str">
        <f>"Cobertura será do tipo " &amp; Dados!A46 &amp; ", com telhas de " &amp; Dados!A48 &amp; ", e inclinação de " &amp; Dados!A50 &amp; "%,  sobre estrutura de madeira tipo cambará de boa qualidade."</f>
        <v>Cobertura será do tipo duas águas embutidas na platibanda, com telhas de {{tipo_telhado}}, e inclinação de {{inclinacao_telhado}}%,  sobre estrutura de madeira tipo cambará de boa qualidade.</v>
      </c>
    </row>
    <row r="69" spans="1:1" ht="15.75" x14ac:dyDescent="0.25">
      <c r="A69" s="51" t="str">
        <f>"Com forro "&amp;Dados!A52&amp;"."</f>
        <v>Com forro {{tipo_forro}}.</v>
      </c>
    </row>
    <row r="70" spans="1:1" x14ac:dyDescent="0.25">
      <c r="A70" s="29"/>
    </row>
    <row r="71" spans="1:1" ht="15.75" x14ac:dyDescent="0.25">
      <c r="A71" s="26" t="s">
        <v>47</v>
      </c>
    </row>
    <row r="72" spans="1:1" x14ac:dyDescent="0.25">
      <c r="A72" s="29"/>
    </row>
    <row r="73" spans="1:1" ht="15.75" x14ac:dyDescent="0.25">
      <c r="A73" s="23" t="s">
        <v>48</v>
      </c>
    </row>
    <row r="74" spans="1:1" ht="31.5" x14ac:dyDescent="0.25">
      <c r="A74" s="25" t="s">
        <v>49</v>
      </c>
    </row>
    <row r="75" spans="1:1" x14ac:dyDescent="0.25">
      <c r="A75" s="29"/>
    </row>
    <row r="76" spans="1:1" ht="15.75" x14ac:dyDescent="0.25">
      <c r="A76" s="26" t="s">
        <v>50</v>
      </c>
    </row>
    <row r="77" spans="1:1" x14ac:dyDescent="0.25">
      <c r="A77" s="29"/>
    </row>
    <row r="78" spans="1:1" ht="15.75" x14ac:dyDescent="0.25">
      <c r="A78" s="23" t="s">
        <v>51</v>
      </c>
    </row>
    <row r="79" spans="1:1" ht="15.75" x14ac:dyDescent="0.25">
      <c r="A79" s="1" t="s">
        <v>52</v>
      </c>
    </row>
    <row r="80" spans="1:1" x14ac:dyDescent="0.25">
      <c r="A80" s="29"/>
    </row>
    <row r="81" spans="1:1" x14ac:dyDescent="0.25">
      <c r="A81" s="29"/>
    </row>
    <row r="82" spans="1:1" x14ac:dyDescent="0.25">
      <c r="A82" s="29"/>
    </row>
    <row r="83" spans="1:1" x14ac:dyDescent="0.25">
      <c r="A83" s="29"/>
    </row>
    <row r="84" spans="1:1" x14ac:dyDescent="0.25">
      <c r="A84" s="29"/>
    </row>
    <row r="85" spans="1:1" x14ac:dyDescent="0.25">
      <c r="A85" s="29"/>
    </row>
    <row r="86" spans="1:1" x14ac:dyDescent="0.25">
      <c r="A86" s="29"/>
    </row>
    <row r="87" spans="1:1" x14ac:dyDescent="0.25">
      <c r="A87" s="29"/>
    </row>
    <row r="88" spans="1:1" x14ac:dyDescent="0.25">
      <c r="A88" s="29"/>
    </row>
    <row r="89" spans="1:1" x14ac:dyDescent="0.25">
      <c r="A89" s="29"/>
    </row>
    <row r="90" spans="1:1" x14ac:dyDescent="0.25">
      <c r="A90" s="29"/>
    </row>
    <row r="91" spans="1:1" x14ac:dyDescent="0.25">
      <c r="A91" s="29"/>
    </row>
    <row r="92" spans="1:1" x14ac:dyDescent="0.25">
      <c r="A92" s="29"/>
    </row>
    <row r="93" spans="1:1" ht="15.75" x14ac:dyDescent="0.25">
      <c r="A93" s="26" t="s">
        <v>53</v>
      </c>
    </row>
    <row r="94" spans="1:1" x14ac:dyDescent="0.25">
      <c r="A94" s="29"/>
    </row>
    <row r="95" spans="1:1" ht="15.75" x14ac:dyDescent="0.25">
      <c r="A95" s="23" t="s">
        <v>54</v>
      </c>
    </row>
    <row r="96" spans="1:1" ht="63" x14ac:dyDescent="0.25">
      <c r="A96" s="36" t="s">
        <v>55</v>
      </c>
    </row>
    <row r="97" spans="1:1" x14ac:dyDescent="0.25">
      <c r="A97" s="29"/>
    </row>
    <row r="98" spans="1:1" ht="15.75" x14ac:dyDescent="0.25">
      <c r="A98" s="26" t="s">
        <v>56</v>
      </c>
    </row>
    <row r="99" spans="1:1" x14ac:dyDescent="0.25">
      <c r="A99" s="29"/>
    </row>
    <row r="100" spans="1:1" ht="15.75" x14ac:dyDescent="0.25">
      <c r="A100" s="23" t="s">
        <v>57</v>
      </c>
    </row>
    <row r="101" spans="1:1" ht="31.5" x14ac:dyDescent="0.25">
      <c r="A101" s="25" t="s">
        <v>58</v>
      </c>
    </row>
    <row r="102" spans="1:1" x14ac:dyDescent="0.25">
      <c r="A102" s="29"/>
    </row>
    <row r="103" spans="1:1" ht="15.75" x14ac:dyDescent="0.25">
      <c r="A103" s="30" t="s">
        <v>59</v>
      </c>
    </row>
    <row r="104" spans="1:1" ht="47.25" x14ac:dyDescent="0.25">
      <c r="A104" s="25" t="s">
        <v>60</v>
      </c>
    </row>
    <row r="105" spans="1:1" x14ac:dyDescent="0.25">
      <c r="A105" s="29"/>
    </row>
    <row r="106" spans="1:1" ht="15.75" x14ac:dyDescent="0.25">
      <c r="A106" s="1" t="s">
        <v>61</v>
      </c>
    </row>
    <row r="107" spans="1:1" x14ac:dyDescent="0.25">
      <c r="A107" s="29"/>
    </row>
    <row r="108" spans="1:1" ht="15.75" x14ac:dyDescent="0.25">
      <c r="A108" s="26" t="s">
        <v>62</v>
      </c>
    </row>
    <row r="109" spans="1:1" x14ac:dyDescent="0.25">
      <c r="A109" s="29"/>
    </row>
    <row r="110" spans="1:1" ht="15.75" x14ac:dyDescent="0.25">
      <c r="A110" s="23" t="s">
        <v>63</v>
      </c>
    </row>
    <row r="111" spans="1:1" ht="31.5" x14ac:dyDescent="0.25">
      <c r="A111" s="25" t="s">
        <v>64</v>
      </c>
    </row>
    <row r="112" spans="1:1" ht="47.25" x14ac:dyDescent="0.25">
      <c r="A112" s="25" t="s">
        <v>65</v>
      </c>
    </row>
    <row r="113" spans="1:1" x14ac:dyDescent="0.25">
      <c r="A113" s="29"/>
    </row>
    <row r="114" spans="1:1" ht="15.75" x14ac:dyDescent="0.25">
      <c r="A114" s="26" t="s">
        <v>66</v>
      </c>
    </row>
    <row r="115" spans="1:1" x14ac:dyDescent="0.25">
      <c r="A115" s="29"/>
    </row>
    <row r="116" spans="1:1" ht="15.75" x14ac:dyDescent="0.25">
      <c r="A116" s="23" t="s">
        <v>67</v>
      </c>
    </row>
    <row r="117" spans="1:1" ht="47.25" x14ac:dyDescent="0.25">
      <c r="A117" s="25" t="s">
        <v>68</v>
      </c>
    </row>
    <row r="118" spans="1:1" x14ac:dyDescent="0.25">
      <c r="A118" s="29"/>
    </row>
    <row r="119" spans="1:1" x14ac:dyDescent="0.25">
      <c r="A119" s="29"/>
    </row>
    <row r="120" spans="1:1" x14ac:dyDescent="0.25">
      <c r="A120" s="29"/>
    </row>
    <row r="121" spans="1:1" x14ac:dyDescent="0.25">
      <c r="A121" s="29"/>
    </row>
    <row r="122" spans="1:1" x14ac:dyDescent="0.25">
      <c r="A122" s="29"/>
    </row>
    <row r="123" spans="1:1" x14ac:dyDescent="0.25">
      <c r="A123" s="29"/>
    </row>
    <row r="124" spans="1:1" x14ac:dyDescent="0.25">
      <c r="A124" s="29"/>
    </row>
    <row r="125" spans="1:1" x14ac:dyDescent="0.25">
      <c r="A125" s="29"/>
    </row>
    <row r="126" spans="1:1" x14ac:dyDescent="0.25">
      <c r="A126" s="29"/>
    </row>
    <row r="127" spans="1:1" x14ac:dyDescent="0.25">
      <c r="A127" s="29"/>
    </row>
    <row r="128" spans="1:1" x14ac:dyDescent="0.25">
      <c r="A128" s="29"/>
    </row>
    <row r="129" spans="1:1" x14ac:dyDescent="0.25">
      <c r="A129" s="29"/>
    </row>
    <row r="130" spans="1:1" x14ac:dyDescent="0.25">
      <c r="A130" s="29"/>
    </row>
    <row r="131" spans="1:1" x14ac:dyDescent="0.25">
      <c r="A131" s="29"/>
    </row>
    <row r="132" spans="1:1" x14ac:dyDescent="0.25">
      <c r="A132" s="29"/>
    </row>
    <row r="133" spans="1:1" ht="15.75" x14ac:dyDescent="0.25">
      <c r="A133" s="23" t="s">
        <v>69</v>
      </c>
    </row>
    <row r="134" spans="1:1" ht="15.75" x14ac:dyDescent="0.25">
      <c r="A134" s="1" t="s">
        <v>70</v>
      </c>
    </row>
    <row r="135" spans="1:1" x14ac:dyDescent="0.25">
      <c r="A135" s="29"/>
    </row>
    <row r="136" spans="1:1" ht="15.75" x14ac:dyDescent="0.25">
      <c r="A136" s="23" t="s">
        <v>71</v>
      </c>
    </row>
    <row r="137" spans="1:1" ht="15.75" x14ac:dyDescent="0.25">
      <c r="A137" s="1" t="s">
        <v>72</v>
      </c>
    </row>
    <row r="138" spans="1:1" x14ac:dyDescent="0.25">
      <c r="A138" s="29"/>
    </row>
    <row r="139" spans="1:1" ht="15.75" x14ac:dyDescent="0.25">
      <c r="A139" s="26" t="s">
        <v>73</v>
      </c>
    </row>
    <row r="140" spans="1:1" x14ac:dyDescent="0.25">
      <c r="A140" s="29"/>
    </row>
    <row r="141" spans="1:1" ht="31.5" x14ac:dyDescent="0.25">
      <c r="A141" s="25" t="s">
        <v>74</v>
      </c>
    </row>
    <row r="142" spans="1:1" x14ac:dyDescent="0.25">
      <c r="A142" s="29"/>
    </row>
    <row r="143" spans="1:1" ht="15.75" x14ac:dyDescent="0.25">
      <c r="A143" s="30"/>
    </row>
    <row r="144" spans="1:1" ht="15.75" x14ac:dyDescent="0.25">
      <c r="A144" s="26" t="s">
        <v>75</v>
      </c>
    </row>
    <row r="145" spans="1:1" x14ac:dyDescent="0.25">
      <c r="A145" s="29"/>
    </row>
    <row r="146" spans="1:1" ht="15.75" x14ac:dyDescent="0.25">
      <c r="A146" s="23" t="s">
        <v>76</v>
      </c>
    </row>
    <row r="147" spans="1:1" ht="15.75" x14ac:dyDescent="0.25">
      <c r="A147" s="1" t="s">
        <v>77</v>
      </c>
    </row>
    <row r="148" spans="1:1" x14ac:dyDescent="0.25">
      <c r="A148" s="22"/>
    </row>
    <row r="149" spans="1:1" x14ac:dyDescent="0.25">
      <c r="A149" s="31" t="s">
        <v>78</v>
      </c>
    </row>
    <row r="150" spans="1:1" x14ac:dyDescent="0.25">
      <c r="A150" s="32"/>
    </row>
    <row r="151" spans="1:1" x14ac:dyDescent="0.25">
      <c r="A151" s="33" t="s">
        <v>79</v>
      </c>
    </row>
    <row r="152" spans="1:1" ht="15.75" x14ac:dyDescent="0.25">
      <c r="A152" s="18" t="str">
        <f>A5</f>
        <v>{{proprietario_1}}</v>
      </c>
    </row>
    <row r="153" spans="1:1" x14ac:dyDescent="0.25">
      <c r="A153" s="35" t="str">
        <f>A7</f>
        <v>{{num_doc_1}}</v>
      </c>
    </row>
    <row r="154" spans="1:1" x14ac:dyDescent="0.25">
      <c r="A154" s="35"/>
    </row>
    <row r="155" spans="1:1" ht="15.75" x14ac:dyDescent="0.25">
      <c r="A155" s="34"/>
    </row>
    <row r="156" spans="1:1" ht="15.75" x14ac:dyDescent="0.25">
      <c r="A156" s="34"/>
    </row>
    <row r="157" spans="1:1" x14ac:dyDescent="0.25">
      <c r="A157" s="33"/>
    </row>
    <row r="158" spans="1:1" ht="15.75" x14ac:dyDescent="0.25">
      <c r="A158" s="18" t="str">
        <f>IF(AND(Dados!A8&lt;&gt;"", Dados!A10&lt;&gt;""), Dados!A8,"")</f>
        <v>{{proprietario_2}}</v>
      </c>
    </row>
    <row r="159" spans="1:1" x14ac:dyDescent="0.25">
      <c r="A159" s="48" t="str">
        <f>IF(Dados!A10&lt;&gt;"", "CPF: " &amp; Dados!A10, "")</f>
        <v>CPF: {{num_doc_2}}</v>
      </c>
    </row>
    <row r="160" spans="1:1" ht="15.75" x14ac:dyDescent="0.25">
      <c r="A160" s="18"/>
    </row>
    <row r="161" spans="1:1" ht="15.75" x14ac:dyDescent="0.25">
      <c r="A161" s="18"/>
    </row>
    <row r="162" spans="1:1" x14ac:dyDescent="0.25">
      <c r="A162" s="31" t="s">
        <v>27</v>
      </c>
    </row>
    <row r="163" spans="1:1" x14ac:dyDescent="0.25">
      <c r="A163" s="32" t="s">
        <v>80</v>
      </c>
    </row>
    <row r="164" spans="1:1" ht="15.75" x14ac:dyDescent="0.25">
      <c r="A164" s="18" t="str">
        <f>Dados!A54</f>
        <v>LEANDRO DE SOUZA PEREIRA</v>
      </c>
    </row>
    <row r="165" spans="1:1" ht="15.75" x14ac:dyDescent="0.25">
      <c r="A165" s="64" t="str">
        <f>Dados!A55</f>
        <v>1214579051</v>
      </c>
    </row>
    <row r="166" spans="1:1" ht="15.75" x14ac:dyDescent="0.25">
      <c r="A166" s="18" t="s">
        <v>81</v>
      </c>
    </row>
    <row r="167" spans="1:1" x14ac:dyDescent="0.25">
      <c r="A167" s="9" t="str">
        <f ca="1">Dados!A59</f>
        <v>Sorriso/MT, 28 de maio de 2026</v>
      </c>
    </row>
    <row r="168" spans="1:1" x14ac:dyDescent="0.25">
      <c r="A168" s="22"/>
    </row>
    <row r="169" spans="1:1" x14ac:dyDescent="0.25">
      <c r="A169" s="22"/>
    </row>
    <row r="170" spans="1:1" x14ac:dyDescent="0.25">
      <c r="A170" s="22"/>
    </row>
    <row r="171" spans="1:1" x14ac:dyDescent="0.25">
      <c r="A171" s="22"/>
    </row>
    <row r="172" spans="1:1" x14ac:dyDescent="0.25">
      <c r="A172" s="22"/>
    </row>
  </sheetData>
  <pageMargins left="0.51181102362204722" right="0.51181102362204722" top="0.78740157480314965" bottom="0.78740157480314965" header="0.31496062992125984" footer="0.31496062992125984"/>
  <pageSetup paperSize="9" scale="92" fitToHeight="0" orientation="portrait" verticalDpi="1200" r:id="rId1"/>
  <headerFooter>
    <oddFooter>&amp;R&amp;P/4</oddFooter>
  </headerFooter>
  <rowBreaks count="3" manualBreakCount="3">
    <brk id="50" max="1" man="1"/>
    <brk id="91" max="16383" man="1"/>
    <brk id="131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1BC9319-E73D-47D7-9DCF-E4F21A7F470A}">
            <xm:f>AND(Dados!$A$8&lt;&gt;"", Dados!$A$10&lt;&gt;"")</xm:f>
            <x14:dxf>
              <border>
                <bottom style="thin">
                  <color auto="1"/>
                </bottom>
                <vertical/>
                <horizontal/>
              </border>
            </x14:dxf>
          </x14:cfRule>
          <xm:sqref>A157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8B82-3ABB-400A-A909-A7C751287A17}">
  <sheetPr codeName="Planilha4"/>
  <dimension ref="B2:G20"/>
  <sheetViews>
    <sheetView workbookViewId="0">
      <selection activeCell="F6" sqref="F6"/>
    </sheetView>
  </sheetViews>
  <sheetFormatPr defaultRowHeight="15" x14ac:dyDescent="0.25"/>
  <cols>
    <col min="2" max="2" width="76.28515625" customWidth="1"/>
  </cols>
  <sheetData>
    <row r="2" spans="2:7" ht="90.75" x14ac:dyDescent="0.25">
      <c r="B2" s="68" t="s">
        <v>118</v>
      </c>
    </row>
    <row r="3" spans="2:7" ht="15.75" x14ac:dyDescent="0.25">
      <c r="B3" s="69" t="s">
        <v>102</v>
      </c>
    </row>
    <row r="4" spans="2:7" ht="150" x14ac:dyDescent="0.25">
      <c r="B4" s="70" t="str">
        <f>IF(Dados!A8="", "Eu, ", "Nós, ") &amp; Dados!A4 &amp; ", portador(a) do CPF: " &amp; Dados!A6 &amp;
IF(Dados!A8="", "", " e " &amp; Dados!A8 &amp; ", portador(a) do CPF: " &amp; Dados!A10) &amp;
", " &amp; IF(Dados!A8="", "AUTORIZO ", "AUTORIZAMOS ") &amp; "o profissional " &amp; Dados!A54 &amp; ", " &amp; Dados!A56 &amp;
", inscrito(a) no CREA RNP: " &amp; Dados!A55 &amp;
", a representar-" &amp; IF(Dados!A8="", "me ", "nos ") &amp; "junto à Prefeitura Municipal de Sorriso para protocolar, tramitar e aprovar o projeto arquitetônico referido no protocolo " &amp; Dados!A62 &amp;
", localizada na " &amp; Dados!A34 &amp; " registrado na matrícula " &amp; Dados!A36 &amp;
", bem como realizar todos os procedimentos necessários à obtenção do Alvará de Construção."</f>
        <v>Nós, {{proprietario_1}}, portador(a) do CPF: {{num_doc_1}} e {{proprietario_2}}, portador(a) do CPF: {{num_doc_2}}, AUTORIZAMOS o profissional LEANDRO DE SOUZA PEREIRA, ENG. CIVIL, inscrito(a) no CREA RNP: 1214579051, a representar-nos junto à Prefeitura Municipal de Sorriso para protocolar, tramitar e aprovar o projeto arquitetônico referido no protocolo AC0625-3XXXXX, localizada na {{confrontacao_frente}}, lote {{lote}}, quadra {{quadra}}, LOTEAMENTO {{loteamento}}, SORRISO/MT. registrado na matrícula {{matricula}}, bem como realizar todos os procedimentos necessários à obtenção do Alvará de Construção.</v>
      </c>
      <c r="G4" s="6"/>
    </row>
    <row r="5" spans="2:7" ht="15.75" x14ac:dyDescent="0.25">
      <c r="B5" s="71"/>
    </row>
    <row r="6" spans="2:7" ht="60" x14ac:dyDescent="0.25">
      <c r="B6" s="72" t="s">
        <v>122</v>
      </c>
    </row>
    <row r="7" spans="2:7" x14ac:dyDescent="0.25">
      <c r="B7" s="73"/>
    </row>
    <row r="8" spans="2:7" x14ac:dyDescent="0.25">
      <c r="B8" s="73" t="s">
        <v>106</v>
      </c>
    </row>
    <row r="9" spans="2:7" ht="15.75" x14ac:dyDescent="0.25">
      <c r="B9" s="74"/>
    </row>
    <row r="10" spans="2:7" ht="15.75" x14ac:dyDescent="0.25">
      <c r="B10" s="71" t="str">
        <f ca="1">Dados!A59</f>
        <v>Sorriso/MT, 28 de maio de 2026</v>
      </c>
    </row>
    <row r="11" spans="2:7" ht="15.75" x14ac:dyDescent="0.25">
      <c r="B11" s="71"/>
    </row>
    <row r="12" spans="2:7" ht="15.75" x14ac:dyDescent="0.25">
      <c r="B12" s="71"/>
    </row>
    <row r="13" spans="2:7" ht="15.75" x14ac:dyDescent="0.25">
      <c r="B13" s="71"/>
    </row>
    <row r="14" spans="2:7" ht="15.75" x14ac:dyDescent="0.25">
      <c r="B14" s="71"/>
    </row>
    <row r="15" spans="2:7" x14ac:dyDescent="0.25">
      <c r="B15" s="75" t="str">
        <f>Dados!A4</f>
        <v>{{proprietario_1}}</v>
      </c>
    </row>
    <row r="16" spans="2:7" x14ac:dyDescent="0.25">
      <c r="B16" s="76" t="str">
        <f>Dados!A6</f>
        <v>{{num_doc_1}}</v>
      </c>
    </row>
    <row r="18" spans="2:2" ht="15.75" x14ac:dyDescent="0.25">
      <c r="B18" s="71"/>
    </row>
    <row r="19" spans="2:2" x14ac:dyDescent="0.25">
      <c r="B19" s="81" t="str">
        <f>IF(AND(Dados!A8&lt;&gt;"", Dados!A10&lt;&gt;""), Dados!A8,"")</f>
        <v>{{proprietario_2}}</v>
      </c>
    </row>
    <row r="20" spans="2:2" x14ac:dyDescent="0.25">
      <c r="B20" s="81" t="str">
        <f>IF(Dados!A10&lt;&gt;"", "CPF: " &amp; Dados!A10, "")</f>
        <v>CPF: {{num_doc_2}}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755D7A-2626-4E18-ABB4-60444A29CBB0}">
            <xm:f>AND(Dados!$A$8&lt;&gt;"", Dados!$A$10&lt;&gt;"")</xm:f>
            <x14:dxf>
              <border>
                <bottom style="thin">
                  <color auto="1"/>
                </bottom>
                <vertical/>
                <horizontal/>
              </border>
            </x14:dxf>
          </x14:cfRule>
          <xm:sqref>B18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Dados</vt:lpstr>
      <vt:lpstr>Plan_Estatistica</vt:lpstr>
      <vt:lpstr>Memorial_Descritivo</vt:lpstr>
      <vt:lpstr>Declaração</vt:lpstr>
      <vt:lpstr>Memorial_Descritivo!Area_de_impressao</vt:lpstr>
      <vt:lpstr>Memorial_Descritivo!page2</vt:lpstr>
      <vt:lpstr>Memorial_Descritivo!page3</vt:lpstr>
      <vt:lpstr>Memorial_Descritivo!Print_Area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Goulart</dc:creator>
  <cp:lastModifiedBy>Usuario</cp:lastModifiedBy>
  <cp:lastPrinted>2026-05-07T13:30:32Z</cp:lastPrinted>
  <dcterms:created xsi:type="dcterms:W3CDTF">2022-01-18T15:31:40Z</dcterms:created>
  <dcterms:modified xsi:type="dcterms:W3CDTF">2026-05-28T21:23:20Z</dcterms:modified>
</cp:coreProperties>
</file>